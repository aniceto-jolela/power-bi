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AD7A895-1ECB-461B-8E5C-3A9E05D9757D}" xr6:coauthVersionLast="47" xr6:coauthVersionMax="47" xr10:uidLastSave="{00000000-0000-0000-0000-000000000000}"/>
  <bookViews>
    <workbookView xWindow="-108" yWindow="-108" windowWidth="23256" windowHeight="12576" activeTab="2" xr2:uid="{39F7FEE0-B3F2-4BA6-BA88-DE32B29FBDAA}"/>
  </bookViews>
  <sheets>
    <sheet name="Planilha2" sheetId="2" r:id="rId1"/>
    <sheet name="Planilha3" sheetId="3" r:id="rId2"/>
    <sheet name="Planilha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O28" i="1"/>
  <c r="M28" i="1" l="1"/>
  <c r="M29" i="1"/>
  <c r="O29" i="1"/>
  <c r="N28" i="1"/>
</calcChain>
</file>

<file path=xl/sharedStrings.xml><?xml version="1.0" encoding="utf-8"?>
<sst xmlns="http://schemas.openxmlformats.org/spreadsheetml/2006/main" count="69" uniqueCount="42">
  <si>
    <t>ID - RH</t>
  </si>
  <si>
    <t>Departamento</t>
  </si>
  <si>
    <t>Vendas</t>
  </si>
  <si>
    <t>Marketing</t>
  </si>
  <si>
    <t>TI</t>
  </si>
  <si>
    <t>Recursos Humanos</t>
  </si>
  <si>
    <t>Administrativo</t>
  </si>
  <si>
    <t>Atendimento</t>
  </si>
  <si>
    <t>Logística</t>
  </si>
  <si>
    <t>Financeiro</t>
  </si>
  <si>
    <t>Produção</t>
  </si>
  <si>
    <t>Qualidade</t>
  </si>
  <si>
    <t>Estoque</t>
  </si>
  <si>
    <t>RH</t>
  </si>
  <si>
    <t>Meta_Vendas</t>
  </si>
  <si>
    <t>Bonus_RH</t>
  </si>
  <si>
    <t>KZ</t>
  </si>
  <si>
    <t>NOTAS</t>
  </si>
  <si>
    <t>ID_Func</t>
  </si>
  <si>
    <t>Nome</t>
  </si>
  <si>
    <t>ID_RH</t>
  </si>
  <si>
    <t>Salario</t>
  </si>
  <si>
    <t>Vendas_Mes</t>
  </si>
  <si>
    <t>João Silva</t>
  </si>
  <si>
    <t>Maria Santos</t>
  </si>
  <si>
    <t>Pedro Oliveira</t>
  </si>
  <si>
    <t>Ana Costa</t>
  </si>
  <si>
    <t>Lucas Pereira</t>
  </si>
  <si>
    <t>Carla Oliveira</t>
  </si>
  <si>
    <t>Rafael Souza</t>
  </si>
  <si>
    <t>Paula Mendes</t>
  </si>
  <si>
    <t>Thiago Lima</t>
  </si>
  <si>
    <t>Ana Paula</t>
  </si>
  <si>
    <t>Júlio César</t>
  </si>
  <si>
    <t>Mariana Silva</t>
  </si>
  <si>
    <t>Roberto Junior</t>
  </si>
  <si>
    <t>Cláudia Nunes</t>
  </si>
  <si>
    <t>Rodrigo Alves</t>
  </si>
  <si>
    <t>ID</t>
  </si>
  <si>
    <t>TOTAL DE SALARIO</t>
  </si>
  <si>
    <t>TOTAL DE VENDA</t>
  </si>
  <si>
    <t>TOTAL DE SALÁRIO DE TODOS OS FUNCIONÁRIOS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</si>
</sst>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right style="medium">
          <color rgb="FFBFBFB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75AB8-F470-4DC7-B073-A230332204B2}" name="Tabela1" displayName="Tabela1" ref="F4:J16" totalsRowShown="0">
  <autoFilter ref="F4:J16" xr:uid="{F7775AB8-F470-4DC7-B073-A230332204B2}"/>
  <tableColumns count="5">
    <tableColumn id="1" xr3:uid="{82FC37A5-5CD4-4FC3-A5CC-7B319C07B75B}" name="ID - RH" dataDxfId="15"/>
    <tableColumn id="2" xr3:uid="{94D0DA54-CBCC-4176-80B3-9D949EB7761B}" name="Departamento"/>
    <tableColumn id="3" xr3:uid="{5791DE08-1706-4B96-B281-FCFA1B9A5D51}" name="Meta_Vendas" dataDxfId="14"/>
    <tableColumn id="5" xr3:uid="{15C39035-A4AD-4A1B-961E-A3966AAE500A}" name="Bonus_RH" dataDxfId="13"/>
    <tableColumn id="6" xr3:uid="{95F415A5-E5BB-4CC2-83DB-7768C8526CDF}" name="NOT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DE323-C83E-40A0-8E60-68A9F490AFA4}" name="Tabela2" displayName="Tabela2" ref="G27:L42" totalsRowShown="0" headerRowDxfId="12" dataDxfId="10" headerRowBorderDxfId="11" tableBorderDxfId="9">
  <autoFilter ref="G27:L42" xr:uid="{D6DDE323-C83E-40A0-8E60-68A9F490AFA4}"/>
  <tableColumns count="6">
    <tableColumn id="1" xr3:uid="{63CF8DEA-EF9E-46FF-B3EA-A999F01D3396}" name="ID_Func" dataDxfId="8"/>
    <tableColumn id="2" xr3:uid="{A6445F2B-AD12-4E87-B29F-E465422BDBA3}" name="Nome" dataDxfId="7"/>
    <tableColumn id="3" xr3:uid="{501EE042-5779-4293-9A1E-0E05B68E16C8}" name="ID_RH" dataDxfId="6"/>
    <tableColumn id="4" xr3:uid="{C6F00235-E5F0-48B6-A638-90E2E81DA6CE}" name="Salario" dataDxfId="5"/>
    <tableColumn id="5" xr3:uid="{C03733BB-F958-47DC-996A-F99E7F2700A5}" name="Vendas_Mes" dataDxfId="4"/>
    <tableColumn id="6" xr3:uid="{72DB87CA-3AD4-47A8-8958-702B2221C16B}" name="Departamento" dataDxfId="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85323A-3131-4C01-82C8-6008DEFFB014}" name="Tabela3" displayName="Tabela3" ref="M27:O29" totalsRowShown="0" headerRowDxfId="2">
  <autoFilter ref="M27:O29" xr:uid="{FE85323A-3131-4C01-82C8-6008DEFFB014}"/>
  <tableColumns count="3">
    <tableColumn id="1" xr3:uid="{3CB1FC44-22FC-4C5A-B5D6-AA2215ACA65A}" name="TOTAL DE SALARIO" dataDxfId="1">
      <calculatedColumnFormula>(J28+J29+J30+J31+J32+J33+J34+J35+J36+J37+J38+J39+J40+J41+J42)</calculatedColumnFormula>
    </tableColumn>
    <tableColumn id="3" xr3:uid="{AFF78A18-7A8D-43BC-AFC8-530D6D2A5BC3}" name="TOTAL DE VENDA"/>
    <tableColumn id="4" xr3:uid="{C669E2E7-0B50-415F-B257-1005A140D62E}" name="TOTAL DE SALÁRIO DE TODOS OS FUNCIONÁRIOS" dataDxfId="0">
      <calculatedColumnFormula>(Tabela3[[#This Row],[TOTAL DE SALARIO]]+Tabela3[[#This Row],[TOTAL DE VENDA]])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C099-0519-45A0-838E-D6F60F939CB2}">
  <dimension ref="A1"/>
  <sheetViews>
    <sheetView workbookViewId="0">
      <selection activeCell="A3" sqref="A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7911-16C7-44DE-97B6-1CAC59DAB66D}">
  <dimension ref="A1"/>
  <sheetViews>
    <sheetView zoomScaleNormal="100" workbookViewId="0">
      <selection activeCell="A3" sqref="A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4985-2F92-43CA-A5E2-4269EAA26218}">
  <dimension ref="F3:O42"/>
  <sheetViews>
    <sheetView tabSelected="1" topLeftCell="C1" workbookViewId="0">
      <selection activeCell="M21" sqref="M21"/>
    </sheetView>
  </sheetViews>
  <sheetFormatPr defaultRowHeight="14.4" x14ac:dyDescent="0.3"/>
  <cols>
    <col min="5" max="5" width="3.6640625" customWidth="1"/>
    <col min="6" max="6" width="8.5546875" customWidth="1"/>
    <col min="7" max="7" width="16.109375" customWidth="1"/>
    <col min="8" max="8" width="13.5546875" bestFit="1" customWidth="1"/>
    <col min="9" max="9" width="18.6640625" bestFit="1" customWidth="1"/>
    <col min="10" max="10" width="10.109375" customWidth="1"/>
    <col min="11" max="11" width="16.21875" customWidth="1"/>
    <col min="12" max="12" width="17.6640625" customWidth="1"/>
    <col min="13" max="13" width="39.44140625" bestFit="1" customWidth="1"/>
    <col min="14" max="14" width="36.5546875" bestFit="1" customWidth="1"/>
    <col min="15" max="15" width="65.6640625" bestFit="1" customWidth="1"/>
  </cols>
  <sheetData>
    <row r="3" spans="6:13" ht="15" thickBot="1" x14ac:dyDescent="0.35"/>
    <row r="4" spans="6:13" ht="15" thickBot="1" x14ac:dyDescent="0.35">
      <c r="F4" s="1" t="s">
        <v>0</v>
      </c>
      <c r="G4" s="3" t="s">
        <v>1</v>
      </c>
      <c r="H4" s="3" t="s">
        <v>14</v>
      </c>
      <c r="I4" s="3" t="s">
        <v>15</v>
      </c>
      <c r="J4" t="s">
        <v>17</v>
      </c>
      <c r="M4" t="s">
        <v>38</v>
      </c>
    </row>
    <row r="5" spans="6:13" ht="15.6" thickBot="1" x14ac:dyDescent="0.35">
      <c r="F5" s="1">
        <v>1</v>
      </c>
      <c r="G5" s="2" t="s">
        <v>2</v>
      </c>
      <c r="H5" s="2">
        <v>50000</v>
      </c>
      <c r="I5" s="5">
        <v>1000</v>
      </c>
      <c r="J5" t="s">
        <v>16</v>
      </c>
      <c r="M5" t="e">
        <f>VLOOKUP($M4,F4:I15,4,0)</f>
        <v>#N/A</v>
      </c>
    </row>
    <row r="6" spans="6:13" ht="15.6" thickBot="1" x14ac:dyDescent="0.35">
      <c r="F6" s="1">
        <v>2</v>
      </c>
      <c r="G6" s="2" t="s">
        <v>3</v>
      </c>
      <c r="H6" s="2">
        <v>30000</v>
      </c>
      <c r="I6" s="5">
        <v>800</v>
      </c>
      <c r="J6" t="s">
        <v>16</v>
      </c>
    </row>
    <row r="7" spans="6:13" ht="15.6" thickBot="1" x14ac:dyDescent="0.35">
      <c r="F7" s="1">
        <v>3</v>
      </c>
      <c r="G7" s="2" t="s">
        <v>4</v>
      </c>
      <c r="H7" s="2">
        <v>20000</v>
      </c>
      <c r="I7" s="5">
        <v>0</v>
      </c>
      <c r="J7" t="s">
        <v>16</v>
      </c>
    </row>
    <row r="8" spans="6:13" ht="30.6" thickBot="1" x14ac:dyDescent="0.35">
      <c r="F8" s="1">
        <v>4</v>
      </c>
      <c r="G8" s="2" t="s">
        <v>5</v>
      </c>
      <c r="H8" s="2">
        <v>15000</v>
      </c>
      <c r="I8" s="5">
        <v>500</v>
      </c>
      <c r="J8" t="s">
        <v>16</v>
      </c>
    </row>
    <row r="9" spans="6:13" ht="15.6" thickBot="1" x14ac:dyDescent="0.35">
      <c r="F9" s="1">
        <v>5</v>
      </c>
      <c r="G9" s="2" t="s">
        <v>6</v>
      </c>
      <c r="H9" s="2">
        <v>25000</v>
      </c>
      <c r="I9" s="5">
        <v>600</v>
      </c>
      <c r="J9" t="s">
        <v>16</v>
      </c>
    </row>
    <row r="10" spans="6:13" ht="15.6" thickBot="1" x14ac:dyDescent="0.35">
      <c r="F10" s="1">
        <v>6</v>
      </c>
      <c r="G10" s="2" t="s">
        <v>7</v>
      </c>
      <c r="H10" s="2">
        <v>18000</v>
      </c>
      <c r="I10" s="5">
        <v>400</v>
      </c>
      <c r="J10" t="s">
        <v>16</v>
      </c>
    </row>
    <row r="11" spans="6:13" ht="15.6" thickBot="1" x14ac:dyDescent="0.35">
      <c r="F11" s="1">
        <v>7</v>
      </c>
      <c r="G11" s="2" t="s">
        <v>8</v>
      </c>
      <c r="H11" s="2">
        <v>22000</v>
      </c>
      <c r="I11" s="5">
        <v>550</v>
      </c>
      <c r="J11" t="s">
        <v>16</v>
      </c>
    </row>
    <row r="12" spans="6:13" ht="15.6" thickBot="1" x14ac:dyDescent="0.35">
      <c r="F12" s="1">
        <v>8</v>
      </c>
      <c r="G12" s="2" t="s">
        <v>9</v>
      </c>
      <c r="H12" s="2">
        <v>40000</v>
      </c>
      <c r="I12" s="5">
        <v>900</v>
      </c>
      <c r="J12" t="s">
        <v>16</v>
      </c>
    </row>
    <row r="13" spans="6:13" ht="15.6" thickBot="1" x14ac:dyDescent="0.35">
      <c r="F13" s="1">
        <v>9</v>
      </c>
      <c r="G13" s="2" t="s">
        <v>10</v>
      </c>
      <c r="H13" s="2">
        <v>35000</v>
      </c>
      <c r="I13" s="5">
        <v>700</v>
      </c>
      <c r="J13" t="s">
        <v>16</v>
      </c>
    </row>
    <row r="14" spans="6:13" ht="15.6" thickBot="1" x14ac:dyDescent="0.35">
      <c r="F14" s="1">
        <v>10</v>
      </c>
      <c r="G14" s="2" t="s">
        <v>11</v>
      </c>
      <c r="H14" s="2">
        <v>28000</v>
      </c>
      <c r="I14" s="5">
        <v>650</v>
      </c>
      <c r="J14" t="s">
        <v>16</v>
      </c>
    </row>
    <row r="15" spans="6:13" ht="15.6" thickBot="1" x14ac:dyDescent="0.35">
      <c r="F15" s="1">
        <v>11</v>
      </c>
      <c r="G15" s="2" t="s">
        <v>12</v>
      </c>
      <c r="H15" s="2">
        <v>23000</v>
      </c>
      <c r="I15" s="5">
        <v>500</v>
      </c>
      <c r="J15" t="s">
        <v>16</v>
      </c>
    </row>
    <row r="16" spans="6:13" ht="15.6" thickBot="1" x14ac:dyDescent="0.35">
      <c r="F16" s="1">
        <v>12</v>
      </c>
      <c r="G16" s="2" t="s">
        <v>13</v>
      </c>
      <c r="H16" s="2">
        <v>15000</v>
      </c>
      <c r="I16" s="5">
        <v>500</v>
      </c>
      <c r="J16" t="s">
        <v>16</v>
      </c>
    </row>
    <row r="27" spans="7:15" ht="31.8" thickBot="1" x14ac:dyDescent="0.65">
      <c r="G27" s="8" t="s">
        <v>18</v>
      </c>
      <c r="H27" s="8" t="s">
        <v>19</v>
      </c>
      <c r="I27" s="8" t="s">
        <v>20</v>
      </c>
      <c r="J27" s="8" t="s">
        <v>21</v>
      </c>
      <c r="K27" s="8" t="s">
        <v>22</v>
      </c>
      <c r="L27" s="9" t="s">
        <v>1</v>
      </c>
      <c r="M27" s="11" t="s">
        <v>39</v>
      </c>
      <c r="N27" s="11" t="s">
        <v>40</v>
      </c>
      <c r="O27" s="14" t="s">
        <v>41</v>
      </c>
    </row>
    <row r="28" spans="7:15" ht="34.200000000000003" thickBot="1" x14ac:dyDescent="0.7">
      <c r="G28" s="6">
        <v>101</v>
      </c>
      <c r="H28" s="6" t="s">
        <v>23</v>
      </c>
      <c r="I28" s="6">
        <v>1</v>
      </c>
      <c r="J28" s="6">
        <v>4000</v>
      </c>
      <c r="K28" s="6">
        <v>65000</v>
      </c>
      <c r="L28" s="7" t="s">
        <v>2</v>
      </c>
      <c r="M28" s="11">
        <f t="shared" ref="M28:M29" si="0">(J28+J29+J30+J31+J32+J33+J34+J35+J36+J37+J38+J39+J40+J41+J42)</f>
        <v>57200</v>
      </c>
      <c r="N28" s="11">
        <f>(K28+K29+K30+K31+K32+K33+K34+K35+K36+K37+K38+K39+K40+K41+K42)</f>
        <v>468000</v>
      </c>
      <c r="O28" s="13">
        <f>(Tabela3[[#This Row],[TOTAL DE SALARIO]]+Tabela3[[#This Row],[TOTAL DE VENDA]])</f>
        <v>525200</v>
      </c>
    </row>
    <row r="29" spans="7:15" ht="30.6" thickBot="1" x14ac:dyDescent="0.35">
      <c r="G29" s="6">
        <v>102</v>
      </c>
      <c r="H29" s="6" t="s">
        <v>24</v>
      </c>
      <c r="I29" s="6">
        <v>2</v>
      </c>
      <c r="J29" s="6">
        <v>3500</v>
      </c>
      <c r="K29" s="6">
        <v>32000</v>
      </c>
      <c r="L29" s="7" t="s">
        <v>3</v>
      </c>
      <c r="M29">
        <f t="shared" si="0"/>
        <v>53200</v>
      </c>
      <c r="O29">
        <f>(Tabela3[[#This Row],[TOTAL DE SALARIO]]+Tabela3[[#This Row],[TOTAL DE VENDA]])</f>
        <v>53200</v>
      </c>
    </row>
    <row r="30" spans="7:15" ht="30.6" thickBot="1" x14ac:dyDescent="0.35">
      <c r="G30" s="6">
        <v>103</v>
      </c>
      <c r="H30" s="6" t="s">
        <v>25</v>
      </c>
      <c r="I30" s="6">
        <v>3</v>
      </c>
      <c r="J30" s="6">
        <v>6000</v>
      </c>
      <c r="K30" s="6">
        <v>21000</v>
      </c>
      <c r="L30" s="7" t="s">
        <v>4</v>
      </c>
    </row>
    <row r="31" spans="7:15" ht="15.6" thickBot="1" x14ac:dyDescent="0.35">
      <c r="G31" s="6">
        <v>104</v>
      </c>
      <c r="H31" s="6" t="s">
        <v>26</v>
      </c>
      <c r="I31" s="6">
        <v>4</v>
      </c>
      <c r="J31" s="6">
        <v>3000</v>
      </c>
      <c r="K31" s="6">
        <v>14000</v>
      </c>
      <c r="L31" s="7" t="s">
        <v>13</v>
      </c>
    </row>
    <row r="32" spans="7:15" ht="30.6" thickBot="1" x14ac:dyDescent="0.55000000000000004">
      <c r="G32" s="6">
        <v>105</v>
      </c>
      <c r="H32" s="6" t="s">
        <v>27</v>
      </c>
      <c r="I32" s="6">
        <v>5</v>
      </c>
      <c r="J32" s="6">
        <v>2800</v>
      </c>
      <c r="K32" s="6">
        <v>24000</v>
      </c>
      <c r="L32" s="7" t="s">
        <v>6</v>
      </c>
      <c r="O32" s="12"/>
    </row>
    <row r="33" spans="7:12" ht="30.6" thickBot="1" x14ac:dyDescent="0.35">
      <c r="G33" s="6">
        <v>106</v>
      </c>
      <c r="H33" s="6" t="s">
        <v>28</v>
      </c>
      <c r="I33" s="6">
        <v>6</v>
      </c>
      <c r="J33" s="6">
        <v>3200</v>
      </c>
      <c r="K33" s="6">
        <v>19000</v>
      </c>
      <c r="L33" s="7" t="s">
        <v>7</v>
      </c>
    </row>
    <row r="34" spans="7:12" ht="30.6" thickBot="1" x14ac:dyDescent="0.35">
      <c r="G34" s="6">
        <v>107</v>
      </c>
      <c r="H34" s="6" t="s">
        <v>29</v>
      </c>
      <c r="I34" s="6">
        <v>7</v>
      </c>
      <c r="J34" s="6">
        <v>2900</v>
      </c>
      <c r="K34" s="6">
        <v>20000</v>
      </c>
      <c r="L34" s="7" t="s">
        <v>8</v>
      </c>
    </row>
    <row r="35" spans="7:12" ht="30.6" thickBot="1" x14ac:dyDescent="0.35">
      <c r="G35" s="6">
        <v>108</v>
      </c>
      <c r="H35" s="6" t="s">
        <v>30</v>
      </c>
      <c r="I35" s="6">
        <v>8</v>
      </c>
      <c r="J35" s="6">
        <v>4500</v>
      </c>
      <c r="K35" s="6">
        <v>42000</v>
      </c>
      <c r="L35" s="7" t="s">
        <v>9</v>
      </c>
    </row>
    <row r="36" spans="7:12" ht="15.6" thickBot="1" x14ac:dyDescent="0.35">
      <c r="G36" s="6">
        <v>109</v>
      </c>
      <c r="H36" s="6" t="s">
        <v>31</v>
      </c>
      <c r="I36" s="6">
        <v>9</v>
      </c>
      <c r="J36" s="6">
        <v>3800</v>
      </c>
      <c r="K36" s="6">
        <v>36000</v>
      </c>
      <c r="L36" s="7" t="s">
        <v>10</v>
      </c>
    </row>
    <row r="37" spans="7:12" ht="15.6" thickBot="1" x14ac:dyDescent="0.35">
      <c r="G37" s="6">
        <v>110</v>
      </c>
      <c r="H37" s="6" t="s">
        <v>32</v>
      </c>
      <c r="I37" s="6">
        <v>10</v>
      </c>
      <c r="J37" s="6">
        <v>3400</v>
      </c>
      <c r="K37" s="6">
        <v>29000</v>
      </c>
      <c r="L37" s="7" t="s">
        <v>11</v>
      </c>
    </row>
    <row r="38" spans="7:12" ht="15.6" thickBot="1" x14ac:dyDescent="0.35">
      <c r="G38" s="6">
        <v>111</v>
      </c>
      <c r="H38" s="6" t="s">
        <v>33</v>
      </c>
      <c r="I38" s="6">
        <v>11</v>
      </c>
      <c r="J38" s="6">
        <v>3100</v>
      </c>
      <c r="K38" s="6">
        <v>24000</v>
      </c>
      <c r="L38" s="7" t="s">
        <v>12</v>
      </c>
    </row>
    <row r="39" spans="7:12" ht="30.6" thickBot="1" x14ac:dyDescent="0.35">
      <c r="G39" s="6">
        <v>112</v>
      </c>
      <c r="H39" s="6" t="s">
        <v>34</v>
      </c>
      <c r="I39" s="6">
        <v>12</v>
      </c>
      <c r="J39" s="6">
        <v>3000</v>
      </c>
      <c r="K39" s="6">
        <v>16000</v>
      </c>
      <c r="L39" s="7" t="s">
        <v>13</v>
      </c>
    </row>
    <row r="40" spans="7:12" ht="30.6" thickBot="1" x14ac:dyDescent="0.35">
      <c r="G40" s="6">
        <v>113</v>
      </c>
      <c r="H40" s="6" t="s">
        <v>35</v>
      </c>
      <c r="I40" s="6">
        <v>1</v>
      </c>
      <c r="J40" s="6">
        <v>4200</v>
      </c>
      <c r="K40" s="6">
        <v>70000</v>
      </c>
      <c r="L40" s="7" t="s">
        <v>2</v>
      </c>
    </row>
    <row r="41" spans="7:12" ht="30.6" thickBot="1" x14ac:dyDescent="0.35">
      <c r="G41" s="6">
        <v>114</v>
      </c>
      <c r="H41" s="6" t="s">
        <v>36</v>
      </c>
      <c r="I41" s="6">
        <v>2</v>
      </c>
      <c r="J41" s="6">
        <v>3600</v>
      </c>
      <c r="K41" s="6">
        <v>33000</v>
      </c>
      <c r="L41" s="7" t="s">
        <v>3</v>
      </c>
    </row>
    <row r="42" spans="7:12" ht="30" x14ac:dyDescent="0.3">
      <c r="G42" s="10">
        <v>115</v>
      </c>
      <c r="H42" s="10" t="s">
        <v>37</v>
      </c>
      <c r="I42" s="10">
        <v>3</v>
      </c>
      <c r="J42" s="10">
        <v>6200</v>
      </c>
      <c r="K42" s="10">
        <v>23000</v>
      </c>
      <c r="L42" s="4" t="s">
        <v>4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EDJAI</dc:creator>
  <cp:lastModifiedBy>Aluno EDJAI</cp:lastModifiedBy>
  <dcterms:created xsi:type="dcterms:W3CDTF">2026-03-20T11:13:10Z</dcterms:created>
  <dcterms:modified xsi:type="dcterms:W3CDTF">2026-03-20T13:53:36Z</dcterms:modified>
</cp:coreProperties>
</file>