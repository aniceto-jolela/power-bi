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ther\Documents\Teach\Excel\12-14\"/>
    </mc:Choice>
  </mc:AlternateContent>
  <bookViews>
    <workbookView xWindow="0" yWindow="0" windowWidth="20490" windowHeight="8205"/>
  </bookViews>
  <sheets>
    <sheet name="Pauta" sheetId="1" r:id="rId1"/>
    <sheet name="Rascunh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G24" i="1"/>
  <c r="G25" i="1"/>
  <c r="H25" i="1" s="1"/>
  <c r="G26" i="1"/>
  <c r="H26" i="1" s="1"/>
  <c r="G27" i="1"/>
  <c r="H27" i="1" s="1"/>
  <c r="B24" i="1"/>
  <c r="B25" i="1" s="1"/>
  <c r="B26" i="1" s="1"/>
  <c r="B27" i="1" s="1"/>
  <c r="C27" i="1"/>
  <c r="C26" i="1"/>
  <c r="C25" i="1"/>
  <c r="C24" i="1"/>
  <c r="H15" i="1"/>
  <c r="H21" i="1"/>
  <c r="G11" i="1"/>
  <c r="H11" i="1" s="1"/>
  <c r="G12" i="1"/>
  <c r="H12" i="1" s="1"/>
  <c r="G13" i="1"/>
  <c r="H13" i="1" s="1"/>
  <c r="G14" i="1"/>
  <c r="H14" i="1" s="1"/>
  <c r="G15" i="1"/>
  <c r="G16" i="1"/>
  <c r="H16" i="1" s="1"/>
  <c r="G17" i="1"/>
  <c r="H17" i="1" s="1"/>
  <c r="G18" i="1"/>
  <c r="H18" i="1" s="1"/>
  <c r="G19" i="1"/>
  <c r="H19" i="1" s="1"/>
  <c r="G20" i="1"/>
  <c r="H20" i="1" s="1"/>
  <c r="G21" i="1"/>
  <c r="G22" i="1"/>
  <c r="H22" i="1" s="1"/>
  <c r="G23" i="1"/>
  <c r="H23" i="1" s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B23" i="1"/>
  <c r="B21" i="1"/>
  <c r="B22" i="1" s="1"/>
  <c r="B19" i="1"/>
  <c r="B20" i="1"/>
  <c r="B16" i="1"/>
  <c r="B17" i="1" s="1"/>
  <c r="B18" i="1" s="1"/>
  <c r="B11" i="1"/>
  <c r="B12" i="1"/>
  <c r="B13" i="1" s="1"/>
  <c r="B14" i="1" s="1"/>
  <c r="B15" i="1" s="1"/>
  <c r="H5" i="1"/>
  <c r="H6" i="1"/>
  <c r="H7" i="1"/>
  <c r="H8" i="1"/>
  <c r="H9" i="1"/>
  <c r="H4" i="1"/>
  <c r="H3" i="1"/>
  <c r="G5" i="1"/>
  <c r="G6" i="1"/>
  <c r="G7" i="1"/>
  <c r="G8" i="1"/>
  <c r="G9" i="1"/>
  <c r="G10" i="1"/>
  <c r="H10" i="1" s="1"/>
  <c r="G4" i="1"/>
  <c r="F3" i="1"/>
  <c r="G3" i="1"/>
  <c r="D3" i="1"/>
  <c r="E3" i="1"/>
  <c r="C9" i="1"/>
  <c r="C10" i="1"/>
  <c r="C5" i="1"/>
  <c r="B5" i="1"/>
  <c r="B6" i="1" s="1"/>
  <c r="B7" i="1" s="1"/>
  <c r="B8" i="1" s="1"/>
  <c r="B9" i="1" s="1"/>
  <c r="B10" i="1" s="1"/>
  <c r="C6" i="1"/>
  <c r="C7" i="1"/>
  <c r="C8" i="1"/>
  <c r="C4" i="1"/>
  <c r="I3" i="1"/>
  <c r="C3" i="1"/>
  <c r="B3" i="1"/>
</calcChain>
</file>

<file path=xl/sharedStrings.xml><?xml version="1.0" encoding="utf-8"?>
<sst xmlns="http://schemas.openxmlformats.org/spreadsheetml/2006/main" count="33" uniqueCount="33">
  <si>
    <t>Nº</t>
  </si>
  <si>
    <t>NoMe</t>
  </si>
  <si>
    <t>DatA</t>
  </si>
  <si>
    <t>RuTH</t>
  </si>
  <si>
    <t>mAriA</t>
  </si>
  <si>
    <t>MiGuel GoNsaLveS</t>
  </si>
  <si>
    <t>PaTricia</t>
  </si>
  <si>
    <t>JulietA RodRIGUES</t>
  </si>
  <si>
    <t>MarTA FilLiPe</t>
  </si>
  <si>
    <t>MaUro</t>
  </si>
  <si>
    <t>nota1</t>
  </si>
  <si>
    <t>nota2</t>
  </si>
  <si>
    <t>nota3</t>
  </si>
  <si>
    <t>média</t>
  </si>
  <si>
    <t>resultado</t>
  </si>
  <si>
    <t>PAULTA FINAL</t>
  </si>
  <si>
    <t>yola</t>
  </si>
  <si>
    <t>paulina</t>
  </si>
  <si>
    <t>matias</t>
  </si>
  <si>
    <t>guilherme</t>
  </si>
  <si>
    <t>Rufina</t>
  </si>
  <si>
    <t>Carlos</t>
  </si>
  <si>
    <t>Fiona</t>
  </si>
  <si>
    <t>Juliana</t>
  </si>
  <si>
    <t>Marta da piedade</t>
  </si>
  <si>
    <t>helio</t>
  </si>
  <si>
    <t>filipe romeu</t>
  </si>
  <si>
    <t>liliana</t>
  </si>
  <si>
    <t>wylma</t>
  </si>
  <si>
    <t>jairo</t>
  </si>
  <si>
    <t>nayer</t>
  </si>
  <si>
    <t>raissa</t>
  </si>
  <si>
    <t>joyce gourgel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</si>
</sst>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0" fillId="0" borderId="2" xfId="0" applyFill="1" applyBorder="1"/>
    <xf numFmtId="2" fontId="0" fillId="0" borderId="1" xfId="0" applyNumberFormat="1" applyBorder="1"/>
    <xf numFmtId="0" fontId="1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7"/>
  <sheetViews>
    <sheetView tabSelected="1" workbookViewId="0">
      <selection activeCell="N12" sqref="N12"/>
    </sheetView>
  </sheetViews>
  <sheetFormatPr defaultRowHeight="15" x14ac:dyDescent="0.25"/>
  <cols>
    <col min="3" max="3" width="17.85546875" bestFit="1" customWidth="1"/>
    <col min="4" max="5" width="10.7109375" bestFit="1" customWidth="1"/>
    <col min="8" max="8" width="17.85546875" bestFit="1" customWidth="1"/>
    <col min="9" max="9" width="10.7109375" bestFit="1" customWidth="1"/>
  </cols>
  <sheetData>
    <row r="1" spans="2:9" s="6" customFormat="1" ht="46.5" x14ac:dyDescent="0.7">
      <c r="D1" s="7" t="s">
        <v>15</v>
      </c>
    </row>
    <row r="3" spans="2:9" x14ac:dyDescent="0.25">
      <c r="B3" s="3" t="str">
        <f>UPPER(Rascunho!B4)</f>
        <v>Nº</v>
      </c>
      <c r="C3" s="3" t="str">
        <f>UPPER(Rascunho!C4)</f>
        <v>NOME</v>
      </c>
      <c r="D3" s="3" t="str">
        <f>UPPER(Rascunho!D4)</f>
        <v>NOTA1</v>
      </c>
      <c r="E3" s="3" t="str">
        <f>UPPER(Rascunho!E4)</f>
        <v>NOTA2</v>
      </c>
      <c r="F3" s="3" t="str">
        <f>UPPER(Rascunho!F4)</f>
        <v>NOTA3</v>
      </c>
      <c r="G3" s="3" t="str">
        <f>UPPER(Rascunho!G4)</f>
        <v>MÉDIA</v>
      </c>
      <c r="H3" s="3" t="str">
        <f>UPPER(Rascunho!H4)</f>
        <v>RESULTADO</v>
      </c>
      <c r="I3" s="3" t="str">
        <f>UPPER(Rascunho!I4)</f>
        <v>DATA</v>
      </c>
    </row>
    <row r="4" spans="2:9" x14ac:dyDescent="0.25">
      <c r="B4" s="1">
        <v>1</v>
      </c>
      <c r="C4" s="1" t="str">
        <f>LOWER(Rascunho!C5)</f>
        <v>julieta rodrigues</v>
      </c>
      <c r="D4" s="1">
        <v>10</v>
      </c>
      <c r="E4" s="1">
        <v>4</v>
      </c>
      <c r="F4" s="1">
        <v>6</v>
      </c>
      <c r="G4" s="5">
        <f>(D4+E4+F4)/3</f>
        <v>6.666666666666667</v>
      </c>
      <c r="H4" s="5" t="str">
        <f>IF(G4&gt;=10,"APROVADO","REPROVADO")</f>
        <v>REPROVADO</v>
      </c>
      <c r="I4" s="2">
        <v>45292</v>
      </c>
    </row>
    <row r="5" spans="2:9" x14ac:dyDescent="0.25">
      <c r="B5" s="1">
        <f>B4+1</f>
        <v>2</v>
      </c>
      <c r="C5" s="1" t="str">
        <f>LOWER(Rascunho!C6)</f>
        <v>ruth</v>
      </c>
      <c r="D5" s="1">
        <v>12</v>
      </c>
      <c r="E5" s="1">
        <v>9</v>
      </c>
      <c r="F5" s="1">
        <v>20</v>
      </c>
      <c r="G5" s="5">
        <f t="shared" ref="G5:G27" si="0">(D5+E5+F5)/3</f>
        <v>13.666666666666666</v>
      </c>
      <c r="H5" s="5" t="str">
        <f t="shared" ref="H5:H27" si="1">IF(G5&gt;=10,"APROVADO","REPROVADO")</f>
        <v>APROVADO</v>
      </c>
      <c r="I5" s="2">
        <v>45323</v>
      </c>
    </row>
    <row r="6" spans="2:9" x14ac:dyDescent="0.25">
      <c r="B6" s="1">
        <f t="shared" ref="B6:B27" si="2">B5+1</f>
        <v>3</v>
      </c>
      <c r="C6" s="1" t="str">
        <f>LOWER(Rascunho!C7)</f>
        <v>maria</v>
      </c>
      <c r="D6" s="1">
        <v>8</v>
      </c>
      <c r="E6" s="1">
        <v>7</v>
      </c>
      <c r="F6" s="1">
        <v>3</v>
      </c>
      <c r="G6" s="5">
        <f t="shared" si="0"/>
        <v>6</v>
      </c>
      <c r="H6" s="5" t="str">
        <f t="shared" si="1"/>
        <v>REPROVADO</v>
      </c>
      <c r="I6" s="2">
        <v>45705</v>
      </c>
    </row>
    <row r="7" spans="2:9" x14ac:dyDescent="0.25">
      <c r="B7" s="1">
        <f t="shared" si="2"/>
        <v>4</v>
      </c>
      <c r="C7" s="1" t="str">
        <f>LOWER(Rascunho!C8)</f>
        <v>miguel gonsalves</v>
      </c>
      <c r="D7" s="1">
        <v>17</v>
      </c>
      <c r="E7" s="1">
        <v>10</v>
      </c>
      <c r="F7" s="1">
        <v>10</v>
      </c>
      <c r="G7" s="5">
        <f t="shared" si="0"/>
        <v>12.333333333333334</v>
      </c>
      <c r="H7" s="5" t="str">
        <f t="shared" si="1"/>
        <v>APROVADO</v>
      </c>
      <c r="I7" s="2">
        <v>45734</v>
      </c>
    </row>
    <row r="8" spans="2:9" x14ac:dyDescent="0.25">
      <c r="B8" s="1">
        <f t="shared" si="2"/>
        <v>5</v>
      </c>
      <c r="C8" s="1" t="str">
        <f>LOWER(Rascunho!C9)</f>
        <v>patricia</v>
      </c>
      <c r="D8" s="1">
        <v>4</v>
      </c>
      <c r="E8" s="1">
        <v>19</v>
      </c>
      <c r="F8" s="1">
        <v>6</v>
      </c>
      <c r="G8" s="5">
        <f t="shared" si="0"/>
        <v>9.6666666666666661</v>
      </c>
      <c r="H8" s="5" t="str">
        <f t="shared" si="1"/>
        <v>REPROVADO</v>
      </c>
      <c r="I8" s="2">
        <v>45767</v>
      </c>
    </row>
    <row r="9" spans="2:9" x14ac:dyDescent="0.25">
      <c r="B9" s="1">
        <f t="shared" si="2"/>
        <v>6</v>
      </c>
      <c r="C9" s="1" t="str">
        <f>LOWER(Rascunho!C10)</f>
        <v>marta fillipe</v>
      </c>
      <c r="D9" s="1">
        <v>16</v>
      </c>
      <c r="E9" s="1">
        <v>9</v>
      </c>
      <c r="F9" s="1">
        <v>3</v>
      </c>
      <c r="G9" s="5">
        <f t="shared" si="0"/>
        <v>9.3333333333333339</v>
      </c>
      <c r="H9" s="5" t="str">
        <f t="shared" si="1"/>
        <v>REPROVADO</v>
      </c>
      <c r="I9" s="2">
        <v>45768</v>
      </c>
    </row>
    <row r="10" spans="2:9" x14ac:dyDescent="0.25">
      <c r="B10" s="1">
        <f t="shared" si="2"/>
        <v>7</v>
      </c>
      <c r="C10" s="1" t="str">
        <f>LOWER(Rascunho!C11)</f>
        <v>mauro</v>
      </c>
      <c r="D10" s="1">
        <v>9</v>
      </c>
      <c r="E10" s="1">
        <v>7</v>
      </c>
      <c r="F10" s="1">
        <v>11</v>
      </c>
      <c r="G10" s="5">
        <f t="shared" si="0"/>
        <v>9</v>
      </c>
      <c r="H10" s="5" t="str">
        <f t="shared" si="1"/>
        <v>REPROVADO</v>
      </c>
      <c r="I10" s="2">
        <v>45769</v>
      </c>
    </row>
    <row r="11" spans="2:9" x14ac:dyDescent="0.25">
      <c r="B11" s="1">
        <f t="shared" si="2"/>
        <v>8</v>
      </c>
      <c r="C11" s="1" t="str">
        <f>LOWER(Rascunho!C12)</f>
        <v>yola</v>
      </c>
      <c r="D11" s="1">
        <v>10</v>
      </c>
      <c r="E11" s="1">
        <v>14</v>
      </c>
      <c r="F11" s="1">
        <v>10</v>
      </c>
      <c r="G11" s="5">
        <f t="shared" si="0"/>
        <v>11.333333333333334</v>
      </c>
      <c r="H11" s="5" t="str">
        <f t="shared" si="1"/>
        <v>APROVADO</v>
      </c>
      <c r="I11" s="2">
        <v>45770</v>
      </c>
    </row>
    <row r="12" spans="2:9" x14ac:dyDescent="0.25">
      <c r="B12" s="1">
        <f t="shared" si="2"/>
        <v>9</v>
      </c>
      <c r="C12" s="1" t="str">
        <f>LOWER(Rascunho!C13)</f>
        <v>paulina</v>
      </c>
      <c r="D12" s="1">
        <v>5</v>
      </c>
      <c r="E12" s="1">
        <v>4</v>
      </c>
      <c r="F12" s="1">
        <v>11</v>
      </c>
      <c r="G12" s="5">
        <f t="shared" si="0"/>
        <v>6.666666666666667</v>
      </c>
      <c r="H12" s="5" t="str">
        <f t="shared" si="1"/>
        <v>REPROVADO</v>
      </c>
      <c r="I12" s="2">
        <v>45771</v>
      </c>
    </row>
    <row r="13" spans="2:9" x14ac:dyDescent="0.25">
      <c r="B13" s="1">
        <f t="shared" si="2"/>
        <v>10</v>
      </c>
      <c r="C13" s="1" t="str">
        <f>LOWER(Rascunho!C14)</f>
        <v>matias</v>
      </c>
      <c r="D13" s="1">
        <v>8</v>
      </c>
      <c r="E13" s="1">
        <v>13</v>
      </c>
      <c r="F13" s="1">
        <v>5</v>
      </c>
      <c r="G13" s="5">
        <f t="shared" si="0"/>
        <v>8.6666666666666661</v>
      </c>
      <c r="H13" s="5" t="str">
        <f t="shared" si="1"/>
        <v>REPROVADO</v>
      </c>
      <c r="I13" s="2">
        <v>45772</v>
      </c>
    </row>
    <row r="14" spans="2:9" x14ac:dyDescent="0.25">
      <c r="B14" s="1">
        <f t="shared" si="2"/>
        <v>11</v>
      </c>
      <c r="C14" s="1" t="str">
        <f>LOWER(Rascunho!C15)</f>
        <v>guilherme</v>
      </c>
      <c r="D14" s="1">
        <v>2</v>
      </c>
      <c r="E14" s="1">
        <v>12</v>
      </c>
      <c r="F14" s="1">
        <v>2</v>
      </c>
      <c r="G14" s="5">
        <f t="shared" si="0"/>
        <v>5.333333333333333</v>
      </c>
      <c r="H14" s="5" t="str">
        <f t="shared" si="1"/>
        <v>REPROVADO</v>
      </c>
      <c r="I14" s="2">
        <v>45773</v>
      </c>
    </row>
    <row r="15" spans="2:9" x14ac:dyDescent="0.25">
      <c r="B15" s="1">
        <f t="shared" si="2"/>
        <v>12</v>
      </c>
      <c r="C15" s="1" t="str">
        <f>LOWER(Rascunho!C16)</f>
        <v>rufina</v>
      </c>
      <c r="D15" s="1">
        <v>20</v>
      </c>
      <c r="E15" s="1">
        <v>13</v>
      </c>
      <c r="F15" s="1">
        <v>20</v>
      </c>
      <c r="G15" s="5">
        <f t="shared" si="0"/>
        <v>17.666666666666668</v>
      </c>
      <c r="H15" s="5" t="str">
        <f t="shared" si="1"/>
        <v>APROVADO</v>
      </c>
      <c r="I15" s="2">
        <v>45774</v>
      </c>
    </row>
    <row r="16" spans="2:9" x14ac:dyDescent="0.25">
      <c r="B16" s="1">
        <f t="shared" si="2"/>
        <v>13</v>
      </c>
      <c r="C16" s="1" t="str">
        <f>LOWER(Rascunho!C17)</f>
        <v>carlos</v>
      </c>
      <c r="D16" s="1">
        <v>19</v>
      </c>
      <c r="E16" s="1">
        <v>10</v>
      </c>
      <c r="F16" s="1">
        <v>11</v>
      </c>
      <c r="G16" s="5">
        <f t="shared" si="0"/>
        <v>13.333333333333334</v>
      </c>
      <c r="H16" s="5" t="str">
        <f t="shared" si="1"/>
        <v>APROVADO</v>
      </c>
      <c r="I16" s="2">
        <v>45775</v>
      </c>
    </row>
    <row r="17" spans="2:9" x14ac:dyDescent="0.25">
      <c r="B17" s="1">
        <f t="shared" si="2"/>
        <v>14</v>
      </c>
      <c r="C17" s="1" t="str">
        <f>LOWER(Rascunho!C18)</f>
        <v>fiona</v>
      </c>
      <c r="D17" s="1">
        <v>12</v>
      </c>
      <c r="E17" s="1">
        <v>13</v>
      </c>
      <c r="F17" s="1">
        <v>9</v>
      </c>
      <c r="G17" s="5">
        <f t="shared" si="0"/>
        <v>11.333333333333334</v>
      </c>
      <c r="H17" s="5" t="str">
        <f t="shared" si="1"/>
        <v>APROVADO</v>
      </c>
      <c r="I17" s="2">
        <v>45776</v>
      </c>
    </row>
    <row r="18" spans="2:9" x14ac:dyDescent="0.25">
      <c r="B18" s="1">
        <f t="shared" si="2"/>
        <v>15</v>
      </c>
      <c r="C18" s="1" t="str">
        <f>LOWER(Rascunho!C19)</f>
        <v>juliana</v>
      </c>
      <c r="D18" s="1">
        <v>9</v>
      </c>
      <c r="E18" s="1">
        <v>13</v>
      </c>
      <c r="F18" s="1">
        <v>6</v>
      </c>
      <c r="G18" s="5">
        <f t="shared" si="0"/>
        <v>9.3333333333333339</v>
      </c>
      <c r="H18" s="5" t="str">
        <f t="shared" si="1"/>
        <v>REPROVADO</v>
      </c>
      <c r="I18" s="2">
        <v>45777</v>
      </c>
    </row>
    <row r="19" spans="2:9" x14ac:dyDescent="0.25">
      <c r="B19" s="1">
        <f t="shared" si="2"/>
        <v>16</v>
      </c>
      <c r="C19" s="1" t="str">
        <f>LOWER(Rascunho!C20)</f>
        <v>marta da piedade</v>
      </c>
      <c r="D19" s="1">
        <v>4</v>
      </c>
      <c r="E19" s="1">
        <v>13</v>
      </c>
      <c r="F19" s="1">
        <v>11</v>
      </c>
      <c r="G19" s="5">
        <f t="shared" si="0"/>
        <v>9.3333333333333339</v>
      </c>
      <c r="H19" s="5" t="str">
        <f t="shared" si="1"/>
        <v>REPROVADO</v>
      </c>
      <c r="I19" s="2">
        <v>45778</v>
      </c>
    </row>
    <row r="20" spans="2:9" x14ac:dyDescent="0.25">
      <c r="B20" s="1">
        <f t="shared" si="2"/>
        <v>17</v>
      </c>
      <c r="C20" s="1" t="str">
        <f>LOWER(Rascunho!C21)</f>
        <v>helio</v>
      </c>
      <c r="D20" s="1">
        <v>8</v>
      </c>
      <c r="E20" s="1">
        <v>13</v>
      </c>
      <c r="F20" s="1">
        <v>5</v>
      </c>
      <c r="G20" s="5">
        <f t="shared" si="0"/>
        <v>8.6666666666666661</v>
      </c>
      <c r="H20" s="5" t="str">
        <f t="shared" si="1"/>
        <v>REPROVADO</v>
      </c>
      <c r="I20" s="2">
        <v>45779</v>
      </c>
    </row>
    <row r="21" spans="2:9" x14ac:dyDescent="0.25">
      <c r="B21" s="1">
        <f t="shared" si="2"/>
        <v>18</v>
      </c>
      <c r="C21" s="1" t="str">
        <f>LOWER(Rascunho!C22)</f>
        <v>filipe romeu</v>
      </c>
      <c r="D21" s="1">
        <v>7</v>
      </c>
      <c r="E21" s="1">
        <v>11</v>
      </c>
      <c r="F21" s="1">
        <v>11</v>
      </c>
      <c r="G21" s="5">
        <f t="shared" si="0"/>
        <v>9.6666666666666661</v>
      </c>
      <c r="H21" s="5" t="str">
        <f t="shared" si="1"/>
        <v>REPROVADO</v>
      </c>
      <c r="I21" s="2">
        <v>45780</v>
      </c>
    </row>
    <row r="22" spans="2:9" x14ac:dyDescent="0.25">
      <c r="B22" s="1">
        <f t="shared" si="2"/>
        <v>19</v>
      </c>
      <c r="C22" s="1" t="str">
        <f>LOWER(Rascunho!C23)</f>
        <v>liliana</v>
      </c>
      <c r="D22" s="1">
        <v>10</v>
      </c>
      <c r="E22" s="1">
        <v>13</v>
      </c>
      <c r="F22" s="1">
        <v>9</v>
      </c>
      <c r="G22" s="5">
        <f t="shared" si="0"/>
        <v>10.666666666666666</v>
      </c>
      <c r="H22" s="5" t="str">
        <f t="shared" si="1"/>
        <v>APROVADO</v>
      </c>
      <c r="I22" s="2">
        <v>45781</v>
      </c>
    </row>
    <row r="23" spans="2:9" x14ac:dyDescent="0.25">
      <c r="B23" s="1">
        <f t="shared" si="2"/>
        <v>20</v>
      </c>
      <c r="C23" s="1" t="str">
        <f>LOWER(Rascunho!C24)</f>
        <v>wylma</v>
      </c>
      <c r="D23" s="1">
        <v>11</v>
      </c>
      <c r="E23" s="1">
        <v>13</v>
      </c>
      <c r="F23" s="1">
        <v>1</v>
      </c>
      <c r="G23" s="5">
        <f t="shared" si="0"/>
        <v>8.3333333333333339</v>
      </c>
      <c r="H23" s="5" t="str">
        <f t="shared" si="1"/>
        <v>REPROVADO</v>
      </c>
      <c r="I23" s="2">
        <v>45782</v>
      </c>
    </row>
    <row r="24" spans="2:9" x14ac:dyDescent="0.25">
      <c r="B24" s="1">
        <f t="shared" si="2"/>
        <v>21</v>
      </c>
      <c r="C24" s="1" t="str">
        <f>LOWER(Rascunho!C25)</f>
        <v>jairo</v>
      </c>
      <c r="D24" s="1">
        <v>9</v>
      </c>
      <c r="E24" s="1">
        <v>13</v>
      </c>
      <c r="F24" s="1">
        <v>11</v>
      </c>
      <c r="G24" s="5">
        <f t="shared" si="0"/>
        <v>11</v>
      </c>
      <c r="H24" s="5" t="str">
        <f t="shared" si="1"/>
        <v>APROVADO</v>
      </c>
      <c r="I24" s="2">
        <v>45783</v>
      </c>
    </row>
    <row r="25" spans="2:9" x14ac:dyDescent="0.25">
      <c r="B25" s="1">
        <f t="shared" si="2"/>
        <v>22</v>
      </c>
      <c r="C25" s="1" t="str">
        <f>LOWER(Rascunho!C26)</f>
        <v>nayer</v>
      </c>
      <c r="D25" s="1">
        <v>3</v>
      </c>
      <c r="E25" s="1">
        <v>10</v>
      </c>
      <c r="F25" s="1">
        <v>11</v>
      </c>
      <c r="G25" s="5">
        <f t="shared" si="0"/>
        <v>8</v>
      </c>
      <c r="H25" s="5" t="str">
        <f t="shared" si="1"/>
        <v>REPROVADO</v>
      </c>
      <c r="I25" s="2">
        <v>45784</v>
      </c>
    </row>
    <row r="26" spans="2:9" x14ac:dyDescent="0.25">
      <c r="B26" s="1">
        <f t="shared" si="2"/>
        <v>23</v>
      </c>
      <c r="C26" s="1" t="str">
        <f>LOWER(Rascunho!C27)</f>
        <v>raissa</v>
      </c>
      <c r="D26" s="1">
        <v>4</v>
      </c>
      <c r="E26" s="1">
        <v>10</v>
      </c>
      <c r="F26" s="1">
        <v>11</v>
      </c>
      <c r="G26" s="5">
        <f t="shared" si="0"/>
        <v>8.3333333333333339</v>
      </c>
      <c r="H26" s="5" t="str">
        <f t="shared" si="1"/>
        <v>REPROVADO</v>
      </c>
      <c r="I26" s="2">
        <v>45785</v>
      </c>
    </row>
    <row r="27" spans="2:9" x14ac:dyDescent="0.25">
      <c r="B27" s="1">
        <f t="shared" si="2"/>
        <v>24</v>
      </c>
      <c r="C27" s="1" t="str">
        <f>LOWER(Rascunho!C28)</f>
        <v>joyce gourgel</v>
      </c>
      <c r="D27" s="1">
        <v>17</v>
      </c>
      <c r="E27" s="1">
        <v>2</v>
      </c>
      <c r="F27" s="1">
        <v>1</v>
      </c>
      <c r="G27" s="5">
        <f t="shared" si="0"/>
        <v>6.666666666666667</v>
      </c>
      <c r="H27" s="5" t="str">
        <f t="shared" si="1"/>
        <v>REPROVADO</v>
      </c>
      <c r="I27" s="2">
        <v>45786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28"/>
  <sheetViews>
    <sheetView topLeftCell="A10" workbookViewId="0">
      <selection activeCell="E28" sqref="E28"/>
    </sheetView>
  </sheetViews>
  <sheetFormatPr defaultRowHeight="15" x14ac:dyDescent="0.25"/>
  <cols>
    <col min="3" max="3" width="17.85546875" bestFit="1" customWidth="1"/>
  </cols>
  <sheetData>
    <row r="4" spans="2:9" x14ac:dyDescent="0.25">
      <c r="B4" s="3" t="s">
        <v>0</v>
      </c>
      <c r="C4" s="3" t="s">
        <v>1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2</v>
      </c>
    </row>
    <row r="5" spans="2:9" x14ac:dyDescent="0.25">
      <c r="C5" s="1" t="s">
        <v>7</v>
      </c>
    </row>
    <row r="6" spans="2:9" x14ac:dyDescent="0.25">
      <c r="C6" s="1" t="s">
        <v>3</v>
      </c>
    </row>
    <row r="7" spans="2:9" x14ac:dyDescent="0.25">
      <c r="C7" s="1" t="s">
        <v>4</v>
      </c>
    </row>
    <row r="8" spans="2:9" x14ac:dyDescent="0.25">
      <c r="C8" s="1" t="s">
        <v>5</v>
      </c>
    </row>
    <row r="9" spans="2:9" x14ac:dyDescent="0.25">
      <c r="C9" s="1" t="s">
        <v>6</v>
      </c>
    </row>
    <row r="10" spans="2:9" x14ac:dyDescent="0.25">
      <c r="C10" s="4" t="s">
        <v>8</v>
      </c>
    </row>
    <row r="11" spans="2:9" x14ac:dyDescent="0.25">
      <c r="C11" s="4" t="s">
        <v>9</v>
      </c>
    </row>
    <row r="12" spans="2:9" x14ac:dyDescent="0.25">
      <c r="C12" s="4" t="s">
        <v>16</v>
      </c>
    </row>
    <row r="13" spans="2:9" x14ac:dyDescent="0.25">
      <c r="C13" s="4" t="s">
        <v>17</v>
      </c>
    </row>
    <row r="14" spans="2:9" x14ac:dyDescent="0.25">
      <c r="C14" s="4" t="s">
        <v>18</v>
      </c>
    </row>
    <row r="15" spans="2:9" x14ac:dyDescent="0.25">
      <c r="C15" s="4" t="s">
        <v>19</v>
      </c>
    </row>
    <row r="16" spans="2:9" x14ac:dyDescent="0.25">
      <c r="C16" s="4" t="s">
        <v>20</v>
      </c>
    </row>
    <row r="17" spans="3:3" x14ac:dyDescent="0.25">
      <c r="C17" s="4" t="s">
        <v>21</v>
      </c>
    </row>
    <row r="18" spans="3:3" x14ac:dyDescent="0.25">
      <c r="C18" s="4" t="s">
        <v>22</v>
      </c>
    </row>
    <row r="19" spans="3:3" x14ac:dyDescent="0.25">
      <c r="C19" s="4" t="s">
        <v>23</v>
      </c>
    </row>
    <row r="20" spans="3:3" x14ac:dyDescent="0.25">
      <c r="C20" s="4" t="s">
        <v>24</v>
      </c>
    </row>
    <row r="21" spans="3:3" x14ac:dyDescent="0.25">
      <c r="C21" s="4" t="s">
        <v>25</v>
      </c>
    </row>
    <row r="22" spans="3:3" x14ac:dyDescent="0.25">
      <c r="C22" s="4" t="s">
        <v>26</v>
      </c>
    </row>
    <row r="23" spans="3:3" x14ac:dyDescent="0.25">
      <c r="C23" s="4" t="s">
        <v>27</v>
      </c>
    </row>
    <row r="24" spans="3:3" x14ac:dyDescent="0.25">
      <c r="C24" s="4" t="s">
        <v>28</v>
      </c>
    </row>
    <row r="25" spans="3:3" x14ac:dyDescent="0.25">
      <c r="C25" s="4" t="s">
        <v>29</v>
      </c>
    </row>
    <row r="26" spans="3:3" x14ac:dyDescent="0.25">
      <c r="C26" s="4" t="s">
        <v>30</v>
      </c>
    </row>
    <row r="27" spans="3:3" x14ac:dyDescent="0.25">
      <c r="C27" s="4" t="s">
        <v>31</v>
      </c>
    </row>
    <row r="28" spans="3:3" x14ac:dyDescent="0.25">
      <c r="C28" s="4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Pauta</vt:lpstr>
      <vt:lpstr>Rascunho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Other</cp:lastModifiedBy>
  <dcterms:created xsi:type="dcterms:W3CDTF">2025-10-28T07:39:42Z</dcterms:created>
  <dcterms:modified xsi:type="dcterms:W3CDTF">2025-10-28T12:06:19Z</dcterms:modified>
</cp:coreProperties>
</file>