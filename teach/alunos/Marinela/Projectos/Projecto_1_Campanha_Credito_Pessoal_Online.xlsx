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5f7dbc64c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18d8ab2ecfb94268"/>
    <x:sheet xmlns:r="http://schemas.openxmlformats.org/officeDocument/2006/relationships" name="Campanhas" sheetId="2" r:id="R0ea44bdf699c41fd"/>
    <x:sheet xmlns:r="http://schemas.openxmlformats.org/officeDocument/2006/relationships" name="Metas" sheetId="3" r:id="R6062c6123a6141a3"/>
    <x:sheet xmlns:r="http://schemas.openxmlformats.org/officeDocument/2006/relationships" name="Dicionario" sheetId="4" r:id="Ra538484e538a4c64"/>
    <x:sheet xmlns:r="http://schemas.openxmlformats.org/officeDocument/2006/relationships" name="Dashboard_Base" sheetId="5" r:id="Re444d7e4926b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#,##0.00"/>
    <x:numFmt numFmtId="202" formatCode="0.00%"/>
    <x:numFmt numFmtId="203" formatCode="mmm/yyyy"/>
    <x:numFmt numFmtId="204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B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1c0d9c008461d" /><Relationship Type="http://schemas.openxmlformats.org/officeDocument/2006/relationships/theme" Target="/xl/theme/theme1.xml" Id="Rb182333dbbce4378" /><Relationship Type="http://schemas.openxmlformats.org/officeDocument/2006/relationships/sharedStrings" Target="/xl/sharedStrings.xml" Id="Rb51f06ad024649b0" /><Relationship Type="http://schemas.openxmlformats.org/officeDocument/2006/relationships/worksheet" Target="/xl/worksheets/sheet1.xml" Id="R18d8ab2ecfb94268" /><Relationship Type="http://schemas.openxmlformats.org/officeDocument/2006/relationships/worksheet" Target="/xl/worksheets/sheet2.xml" Id="R0ea44bdf699c41fd" /><Relationship Type="http://schemas.openxmlformats.org/officeDocument/2006/relationships/worksheet" Target="/xl/worksheets/sheet3.xml" Id="R6062c6123a6141a3" /><Relationship Type="http://schemas.openxmlformats.org/officeDocument/2006/relationships/worksheet" Target="/xl/worksheets/sheet4.xml" Id="Ra538484e538a4c64" /><Relationship Type="http://schemas.openxmlformats.org/officeDocument/2006/relationships/worksheet" Target="/xl/worksheets/sheet5.xml" Id="Re444d7e4926b44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d69a70586949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Aprovações por Mês</a:t>
            </a:r>
          </a:p>
        </c:rich>
      </c:tx>
    </c:title>
    <c:plotArea>
      <c:lineChart>
        <c:grouping val="standard"/>
        <c:ser>
          <c:idx val="0"/>
          <c:order val="0"/>
          <c:tx>
            <c:v>Aprovações</c:v>
          </c:tx>
          <c:marker>
            <c:symbol val="none"/>
          </c:marker>
          <c:cat>
            <c:strRef>
              <c:f>'Dashboard_Base'!$E$4:$E$9</c:f>
              <c:strCache>
                <c:ptCount val="0"/>
              </c:strCache>
            </c:strRef>
          </c:cat>
          <c:val>
            <c:numRef>
              <c:f>'Dashboard_Base'!$F$4:$F$9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d69a70586949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ampanhas" displayName="TblCampanhas" ref="A1:U717" headerRowCount="1" totalsRowCount="0" totalsRowShown="0">
  <x:tableColumns count="21">
    <x:tableColumn id="1" name="ID"/>
    <x:tableColumn id="2" name="Data"/>
    <x:tableColumn id="3" name="Campanha"/>
    <x:tableColumn id="4" name="Canal"/>
    <x:tableColumn id="5" name="Segmento"/>
    <x:tableColumn id="6" name="Provincia"/>
    <x:tableColumn id="7" name="Dispositivo"/>
    <x:tableColumn id="8" name="Impressoes"/>
    <x:tableColumn id="9" name="Cliques"/>
    <x:tableColumn id="10" name="Leads"/>
    <x:tableColumn id="11" name="Solicitacoes"/>
    <x:tableColumn id="12" name="Aprovacoes"/>
    <x:tableColumn id="13" name="Valor_Aprovado_AOA"/>
    <x:tableColumn id="14" name="Investimento_AOA"/>
    <x:tableColumn id="15" name="CTR"/>
    <x:tableColumn id="16" name="Taxa_Lead"/>
    <x:tableColumn id="17" name="Conversao_Solicitacao"/>
    <x:tableColumn id="18" name="Taxa_Aprovacao"/>
    <x:tableColumn id="19" name="CPL_AOA"/>
    <x:tableColumn id="20" name="CPA_AOA"/>
    <x:tableColumn id="21" name="Custo_por_Aprovacao_AO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MetasP1" displayName="TblMetasP1" ref="A1:G7" headerRowCount="1" totalsRowCount="0" totalsRowShown="0">
  <x:tableColumns count="7">
    <x:tableColumn id="1" name="Mes"/>
    <x:tableColumn id="2" name="Meta_CTR"/>
    <x:tableColumn id="3" name="Meta_Conversao_Solicitacao"/>
    <x:tableColumn id="4" name="Meta_Taxa_Aprovacao"/>
    <x:tableColumn id="5" name="Meta_CPA_AOA"/>
    <x:tableColumn id="6" name="Meta_Aprovacoes"/>
    <x:tableColumn id="7" name="Meta_Valor_Aprovado_AO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ebbe38da54f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28364a8ce840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121d59339ea4e6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4" t="str">
        <x:v>PROJECTO 1 — Performance de Campanha Digital: Crédito Pessoal Online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Objectivo</x:v>
      </x:c>
      <x:c r="B3" s="14" t="str">
        <x:v>Consolidar fundamentos de Excel e Power BI através da análise de um funil de marketing digital ligado a um produto bancário.</x:v>
      </x:c>
    </x:row>
    <x:row r="4">
      <x:c r="A4" s="10" t="str">
        <x:v>Contexto</x:v>
      </x:c>
      <x:c r="B4" s="14" t="str">
        <x:v>Marketing bancário — Gestão de Oferta e Produto | Caso educacional inspirado no contexto público do BAI.</x:v>
      </x:c>
    </x:row>
    <x:row r="5">
      <x:c r="A5" s="10" t="str">
        <x:v>Natureza dos dados</x:v>
      </x:c>
      <x:c r="B5" s="14" t="str">
        <x:v>Dados simulados e realistas para formação. Não representam dados internos, pessoais ou confidenciais do BAI.</x:v>
      </x:c>
    </x:row>
    <x:row r="6">
      <x:c r="A6" s="10" t="str">
        <x:v>Uso recomendado</x:v>
      </x:c>
      <x:c r="B6" s="14" t="str">
        <x:v>Excel para limpeza, fórmulas, tabelas dinâmicas e análise; Power BI para modelo de dados, DAX, KPIs e dashboards.</x:v>
      </x:c>
    </x:row>
    <x:row r="7">
      <x:c r="A7" s="10" t="str">
        <x:v>Fonte pública de contexto 1</x:v>
      </x:c>
      <x:c r="B7" s="14" t="str">
        <x:v>https://www.bancobai.ao/</x:v>
      </x:c>
    </x:row>
    <x:row r="8">
      <x:c r="A8" s="10" t="str">
        <x:v>Fonte pública de contexto 2</x:v>
      </x:c>
      <x:c r="B8" s="14" t="str">
        <x:v>https://www.bancobai.ao/media/tlhbe0uy/relatorio-e-contas-individual-e-consolidado-anual-2025.pdf</x:v>
      </x:c>
    </x:row>
    <x:row r="11">
      <x:c r="A11" s="20" t="str">
        <x:v>Folha</x:v>
      </x:c>
      <x:c r="B11" s="20" t="str">
        <x:v>Descrição</x:v>
      </x:c>
    </x:row>
    <x:row r="12">
      <x:c r="A12" s="14" t="str">
        <x:v>Campanhas</x:v>
      </x:c>
      <x:c r="B12" s="14" t="str">
        <x:v>Base diária de performance por campanha, canal, segmento, região e dispositivo.</x:v>
      </x:c>
    </x:row>
    <x:row r="13">
      <x:c r="A13" s="14" t="str">
        <x:v>Metas</x:v>
      </x:c>
      <x:c r="B13" s="14" t="str">
        <x:v>Metas mensais de KPIs para comparação com realizado.</x:v>
      </x:c>
    </x:row>
    <x:row r="14">
      <x:c r="A14" s="14" t="str">
        <x:v>Dicionario</x:v>
      </x:c>
      <x:c r="B14" s="14" t="str">
        <x:v>Definição das colunas e principais KPIs.</x:v>
      </x:c>
    </x:row>
    <x:row r="15">
      <x:c r="A15" s="14" t="str">
        <x:v>Dashboard_Base</x:v>
      </x:c>
      <x:c r="B15" s="14" t="str">
        <x:v>Resumo com KPIs e fórmulas para servir de ponto de partida.</x:v>
      </x:c>
    </x:row>
    <x:row r="17">
      <x:c r="A17" s="20" t="str">
        <x:v>Notas de trabalho</x:v>
      </x:c>
      <x:c r="B17" s="20" t="str"/>
    </x:row>
    <x:row r="18">
      <x:c r="A18" t="str">
        <x:v>1.</x:v>
      </x:c>
      <x:c r="B18" s="14" t="str">
        <x:v>Calcular e interpretar CTR, taxa de conversão, CPL, CPA, taxa de aprovação e custo por crédito aprovado.</x:v>
      </x:c>
    </x:row>
    <x:row r="19">
      <x:c r="A19" t="str">
        <x:v>2.</x:v>
      </x:c>
      <x:c r="B19" s="14" t="str">
        <x:v>Criar Tabelas Dinâmicas por canal, campanha, segmento e província.</x:v>
      </x:c>
    </x:row>
    <x:row r="20">
      <x:c r="A20" t="str">
        <x:v>3.</x:v>
      </x:c>
      <x:c r="B20" s="14" t="str">
        <x:v>No Power BI, criar medidas DAX e um dashboard com funil, tendências, metas e recomendações.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2" hidden="0" customWidth="1"/>
    <x:col min="4" max="4" width="18" hidden="0" customWidth="1"/>
    <x:col min="5" max="5" width="21" hidden="0" customWidth="1"/>
    <x:col min="6" max="6" width="15" hidden="0" customWidth="1"/>
    <x:col min="7" max="7" width="14" hidden="0" customWidth="1"/>
    <x:col min="8" max="8" width="12" hidden="0" customWidth="1"/>
    <x:col min="9" max="9" width="10" hidden="0" customWidth="1"/>
    <x:col min="10" max="10" width="10" hidden="0" customWidth="1"/>
    <x:col min="11" max="11" width="13" hidden="0" customWidth="1"/>
    <x:col min="12" max="12" width="11" hidden="0" customWidth="1"/>
    <x:col min="13" max="13" width="18" hidden="0" customWidth="1"/>
    <x:col min="14" max="14" width="17" hidden="0" customWidth="1"/>
    <x:col min="15" max="15" width="10" hidden="0" customWidth="1"/>
    <x:col min="16" max="16" width="12" hidden="0" customWidth="1"/>
    <x:col min="17" max="17" width="18" hidden="0" customWidth="1"/>
    <x:col min="18" max="18" width="15" hidden="0" customWidth="1"/>
    <x:col min="19" max="19" width="13" hidden="0" customWidth="1"/>
    <x:col min="20" max="20" width="13" hidden="0" customWidth="1"/>
    <x:col min="21" max="21" width="22" hidden="0" customWidth="1"/>
  </x:cols>
  <x:sheetData>
    <x:row r="1">
      <x:c r="A1" s="32" t="str">
        <x:v>ID</x:v>
      </x:c>
      <x:c r="B1" s="32" t="str">
        <x:v>Data</x:v>
      </x:c>
      <x:c r="C1" s="32" t="str">
        <x:v>Campanha</x:v>
      </x:c>
      <x:c r="D1" s="32" t="str">
        <x:v>Canal</x:v>
      </x:c>
      <x:c r="E1" s="32" t="str">
        <x:v>Segmento</x:v>
      </x:c>
      <x:c r="F1" s="32" t="str">
        <x:v>Provincia</x:v>
      </x:c>
      <x:c r="G1" s="32" t="str">
        <x:v>Dispositivo</x:v>
      </x:c>
      <x:c r="H1" s="32" t="str">
        <x:v>Impressoes</x:v>
      </x:c>
      <x:c r="I1" s="32" t="str">
        <x:v>Cliques</x:v>
      </x:c>
      <x:c r="J1" s="32" t="str">
        <x:v>Leads</x:v>
      </x:c>
      <x:c r="K1" s="32" t="str">
        <x:v>Solicitacoes</x:v>
      </x:c>
      <x:c r="L1" s="32" t="str">
        <x:v>Aprovacoes</x:v>
      </x:c>
      <x:c r="M1" s="32" t="str">
        <x:v>Valor_Aprovado_AOA</x:v>
      </x:c>
      <x:c r="N1" s="32" t="str">
        <x:v>Investimento_AOA</x:v>
      </x:c>
      <x:c r="O1" s="32" t="str">
        <x:v>CTR</x:v>
      </x:c>
      <x:c r="P1" s="32" t="str">
        <x:v>Taxa_Lead</x:v>
      </x:c>
      <x:c r="Q1" s="32" t="str">
        <x:v>Conversao_Solicitacao</x:v>
      </x:c>
      <x:c r="R1" s="32" t="str">
        <x:v>Taxa_Aprovacao</x:v>
      </x:c>
      <x:c r="S1" s="32" t="str">
        <x:v>CPL_AOA</x:v>
      </x:c>
      <x:c r="T1" s="32" t="str">
        <x:v>CPA_AOA</x:v>
      </x:c>
      <x:c r="U1" s="32" t="str">
        <x:v>Custo_por_Aprovacao_AOA</x:v>
      </x:c>
    </x:row>
    <x:row r="2">
      <x:c r="A2" t="n">
        <x:v>1</x:v>
      </x:c>
      <x:c r="B2" s="26" t="n">
        <x:v>46023</x:v>
      </x:c>
      <x:c r="C2" t="str">
        <x:v>CPO_Salario</x:v>
      </x:c>
      <x:c r="D2" t="str">
        <x:v>Meta Ads</x:v>
      </x:c>
      <x:c r="E2" t="str">
        <x:v>Assalariado</x:v>
      </x:c>
      <x:c r="F2" t="str">
        <x:v>Huambo</x:v>
      </x:c>
      <x:c r="G2" t="str">
        <x:v>Android</x:v>
      </x:c>
      <x:c r="H2" t="n">
        <x:v>26632</x:v>
      </x:c>
      <x:c r="I2" t="n">
        <x:v>652</x:v>
      </x:c>
      <x:c r="J2" t="n">
        <x:v>84</x:v>
      </x:c>
      <x:c r="K2" t="n">
        <x:v>50</x:v>
      </x:c>
      <x:c r="L2" t="n">
        <x:v>32</x:v>
      </x:c>
      <x:c r="M2" s="28" t="n">
        <x:v>72254992.02</x:v>
      </x:c>
      <x:c r="N2" s="28" t="n">
        <x:v>35915.74</x:v>
      </x:c>
      <x:c r="O2" s="30" t="n">
        <x:f>IFERROR(I2/H2,0)</x:f>
        <x:v>0.024481826374286572</x:v>
      </x:c>
      <x:c r="P2" s="30" t="n">
        <x:f>IFERROR(J2/I2,0)</x:f>
        <x:v>0.12883435582822086</x:v>
      </x:c>
      <x:c r="Q2" s="30" t="n">
        <x:f>IFERROR(K2/J2,0)</x:f>
        <x:v>0.5952380952380952</x:v>
      </x:c>
      <x:c r="R2" s="30" t="n">
        <x:f>IFERROR(L2/K2,0)</x:f>
        <x:v>0.64</x:v>
      </x:c>
      <x:c r="S2" s="28" t="n">
        <x:f>IFERROR(N2/J2,0)</x:f>
        <x:v>427.5683333333333</x:v>
      </x:c>
      <x:c r="T2" s="28" t="n">
        <x:f>IFERROR(N2/K2,0)</x:f>
        <x:v>718.3148</x:v>
      </x:c>
      <x:c r="U2" s="28" t="n">
        <x:f>IFERROR(N2/L2,0)</x:f>
        <x:v>1122.366875</x:v>
      </x:c>
    </x:row>
    <x:row r="3">
      <x:c r="A3" t="n">
        <x:v>2</x:v>
      </x:c>
      <x:c r="B3" s="26" t="n">
        <x:v>46023</x:v>
      </x:c>
      <x:c r="C3" t="str">
        <x:v>CPO_Salario</x:v>
      </x:c>
      <x:c r="D3" t="str">
        <x:v>BAI Directo/App</x:v>
      </x:c>
      <x:c r="E3" t="str">
        <x:v>Jovem Profissional</x:v>
      </x:c>
      <x:c r="F3" t="str">
        <x:v>Cabinda</x:v>
      </x:c>
      <x:c r="G3" t="str">
        <x:v>Desktop</x:v>
      </x:c>
      <x:c r="H3" t="n">
        <x:v>2554</x:v>
      </x:c>
      <x:c r="I3" t="n">
        <x:v>231</x:v>
      </x:c>
      <x:c r="J3" t="n">
        <x:v>55</x:v>
      </x:c>
      <x:c r="K3" t="n">
        <x:v>31</x:v>
      </x:c>
      <x:c r="L3" t="n">
        <x:v>16</x:v>
      </x:c>
      <x:c r="M3" s="28" t="n">
        <x:v>20879130.44</x:v>
      </x:c>
      <x:c r="N3" s="28" t="n">
        <x:v>39145.26</x:v>
      </x:c>
      <x:c r="O3" s="30" t="n">
        <x:f>IFERROR(I3/H3,0)</x:f>
        <x:v>0.09044635865309318</x:v>
      </x:c>
      <x:c r="P3" s="30" t="n">
        <x:f>IFERROR(J3/I3,0)</x:f>
        <x:v>0.23809523809523808</x:v>
      </x:c>
      <x:c r="Q3" s="30" t="n">
        <x:f>IFERROR(K3/J3,0)</x:f>
        <x:v>0.5636363636363636</x:v>
      </x:c>
      <x:c r="R3" s="30" t="n">
        <x:f>IFERROR(L3/K3,0)</x:f>
        <x:v>0.5161290322580645</x:v>
      </x:c>
      <x:c r="S3" s="28" t="n">
        <x:f>IFERROR(N3/J3,0)</x:f>
        <x:v>711.7320000000001</x:v>
      </x:c>
      <x:c r="T3" s="28" t="n">
        <x:f>IFERROR(N3/K3,0)</x:f>
        <x:v>1262.7503225806452</x:v>
      </x:c>
      <x:c r="U3" s="28" t="n">
        <x:f>IFERROR(N3/L3,0)</x:f>
        <x:v>2446.57875</x:v>
      </x:c>
    </x:row>
    <x:row r="4">
      <x:c r="A4" t="n">
        <x:v>3</x:v>
      </x:c>
      <x:c r="B4" s="26" t="n">
        <x:v>46023</x:v>
      </x:c>
      <x:c r="C4" t="str">
        <x:v>CPO_Fim_do_Mes</x:v>
      </x:c>
      <x:c r="D4" t="str">
        <x:v>TikTok Ads</x:v>
      </x:c>
      <x:c r="E4" t="str">
        <x:v>Funcionário Público</x:v>
      </x:c>
      <x:c r="F4" t="str">
        <x:v>Luanda</x:v>
      </x:c>
      <x:c r="G4" t="str">
        <x:v>Android</x:v>
      </x:c>
      <x:c r="H4" t="n">
        <x:v>26024</x:v>
      </x:c>
      <x:c r="I4" t="n">
        <x:v>341</x:v>
      </x:c>
      <x:c r="J4" t="n">
        <x:v>34</x:v>
      </x:c>
      <x:c r="K4" t="n">
        <x:v>20</x:v>
      </x:c>
      <x:c r="L4" t="n">
        <x:v>16</x:v>
      </x:c>
      <x:c r="M4" s="28" t="n">
        <x:v>31029983.96</x:v>
      </x:c>
      <x:c r="N4" s="28" t="n">
        <x:v>36218.7</x:v>
      </x:c>
      <x:c r="O4" s="30" t="n">
        <x:f>IFERROR(I4/H4,0)</x:f>
        <x:v>0.013103289271441746</x:v>
      </x:c>
      <x:c r="P4" s="30" t="n">
        <x:f>IFERROR(J4/I4,0)</x:f>
        <x:v>0.09970674486803519</x:v>
      </x:c>
      <x:c r="Q4" s="30" t="n">
        <x:f>IFERROR(K4/J4,0)</x:f>
        <x:v>0.5882352941176471</x:v>
      </x:c>
      <x:c r="R4" s="30" t="n">
        <x:f>IFERROR(L4/K4,0)</x:f>
        <x:v>0.8</x:v>
      </x:c>
      <x:c r="S4" s="28" t="n">
        <x:f>IFERROR(N4/J4,0)</x:f>
        <x:v>1065.2558823529412</x:v>
      </x:c>
      <x:c r="T4" s="28" t="n">
        <x:f>IFERROR(N4/K4,0)</x:f>
        <x:v>1810.935</x:v>
      </x:c>
      <x:c r="U4" s="28" t="n">
        <x:f>IFERROR(N4/L4,0)</x:f>
        <x:v>2263.66875</x:v>
      </x:c>
    </x:row>
    <x:row r="5">
      <x:c r="A5" t="n">
        <x:v>4</x:v>
      </x:c>
      <x:c r="B5" s="26" t="n">
        <x:v>46023</x:v>
      </x:c>
      <x:c r="C5" t="str">
        <x:v>CPO_Fim_do_Mes</x:v>
      </x:c>
      <x:c r="D5" t="str">
        <x:v>Meta Ads</x:v>
      </x:c>
      <x:c r="E5" t="str">
        <x:v>Funcionário Público</x:v>
      </x:c>
      <x:c r="F5" t="str">
        <x:v>Luanda</x:v>
      </x:c>
      <x:c r="G5" t="str">
        <x:v>Desktop</x:v>
      </x:c>
      <x:c r="H5" t="n">
        <x:v>10738</x:v>
      </x:c>
      <x:c r="I5" t="n">
        <x:v>292</x:v>
      </x:c>
      <x:c r="J5" t="n">
        <x:v>30</x:v>
      </x:c>
      <x:c r="K5" t="n">
        <x:v>24</x:v>
      </x:c>
      <x:c r="L5" t="n">
        <x:v>17</x:v>
      </x:c>
      <x:c r="M5" s="28" t="n">
        <x:v>30601013.4</x:v>
      </x:c>
      <x:c r="N5" s="28" t="n">
        <x:v>45424.71</x:v>
      </x:c>
      <x:c r="O5" s="30" t="n">
        <x:f>IFERROR(I5/H5,0)</x:f>
        <x:v>0.027193145837213634</x:v>
      </x:c>
      <x:c r="P5" s="30" t="n">
        <x:f>IFERROR(J5/I5,0)</x:f>
        <x:v>0.10273972602739725</x:v>
      </x:c>
      <x:c r="Q5" s="30" t="n">
        <x:f>IFERROR(K5/J5,0)</x:f>
        <x:v>0.8</x:v>
      </x:c>
      <x:c r="R5" s="30" t="n">
        <x:f>IFERROR(L5/K5,0)</x:f>
        <x:v>0.7083333333333334</x:v>
      </x:c>
      <x:c r="S5" s="28" t="n">
        <x:f>IFERROR(N5/J5,0)</x:f>
        <x:v>1514.157</x:v>
      </x:c>
      <x:c r="T5" s="28" t="n">
        <x:f>IFERROR(N5/K5,0)</x:f>
        <x:v>1892.69625</x:v>
      </x:c>
      <x:c r="U5" s="28" t="n">
        <x:f>IFERROR(N5/L5,0)</x:f>
        <x:v>2672.041764705882</x:v>
      </x:c>
    </x:row>
    <x:row r="6">
      <x:c r="A6" t="n">
        <x:v>5</x:v>
      </x:c>
      <x:c r="B6" s="26" t="n">
        <x:v>46023</x:v>
      </x:c>
      <x:c r="C6" t="str">
        <x:v>CPO_Premium</x:v>
      </x:c>
      <x:c r="D6" t="str">
        <x:v>E-mail</x:v>
      </x:c>
      <x:c r="E6" t="str">
        <x:v>Pequeno Negócio</x:v>
      </x:c>
      <x:c r="F6" t="str">
        <x:v>Uíge</x:v>
      </x:c>
      <x:c r="G6" t="str">
        <x:v>Android</x:v>
      </x:c>
      <x:c r="H6" t="n">
        <x:v>1219</x:v>
      </x:c>
      <x:c r="I6" t="n">
        <x:v>62</x:v>
      </x:c>
      <x:c r="J6" t="n">
        <x:v>7</x:v>
      </x:c>
      <x:c r="K6" t="n">
        <x:v>3</x:v>
      </x:c>
      <x:c r="L6" t="n">
        <x:v>2</x:v>
      </x:c>
      <x:c r="M6" s="28" t="n">
        <x:v>5886884.4</x:v>
      </x:c>
      <x:c r="N6" s="28" t="n">
        <x:v>14031.12</x:v>
      </x:c>
      <x:c r="O6" s="30" t="n">
        <x:f>IFERROR(I6/H6,0)</x:f>
        <x:v>0.05086136177194422</x:v>
      </x:c>
      <x:c r="P6" s="30" t="n">
        <x:f>IFERROR(J6/I6,0)</x:f>
        <x:v>0.11290322580645161</x:v>
      </x:c>
      <x:c r="Q6" s="30" t="n">
        <x:f>IFERROR(K6/J6,0)</x:f>
        <x:v>0.42857142857142855</x:v>
      </x:c>
      <x:c r="R6" s="30" t="n">
        <x:f>IFERROR(L6/K6,0)</x:f>
        <x:v>0.6666666666666666</x:v>
      </x:c>
      <x:c r="S6" s="28" t="n">
        <x:f>IFERROR(N6/J6,0)</x:f>
        <x:v>2004.4457142857143</x:v>
      </x:c>
      <x:c r="T6" s="28" t="n">
        <x:f>IFERROR(N6/K6,0)</x:f>
        <x:v>4677.04</x:v>
      </x:c>
      <x:c r="U6" s="28" t="n">
        <x:f>IFERROR(N6/L6,0)</x:f>
        <x:v>7015.56</x:v>
      </x:c>
    </x:row>
    <x:row r="7">
      <x:c r="A7" t="n">
        <x:v>6</x:v>
      </x:c>
      <x:c r="B7" s="26" t="n">
        <x:v>46024</x:v>
      </x:c>
      <x:c r="C7" t="str">
        <x:v>CPO_Fim_do_Mes</x:v>
      </x:c>
      <x:c r="D7" t="str">
        <x:v>Meta Ads</x:v>
      </x:c>
      <x:c r="E7" t="str">
        <x:v>Funcionário Público</x:v>
      </x:c>
      <x:c r="F7" t="str">
        <x:v>Cuanza Sul</x:v>
      </x:c>
      <x:c r="G7" t="str">
        <x:v>Desktop</x:v>
      </x:c>
      <x:c r="H7" t="n">
        <x:v>27594</x:v>
      </x:c>
      <x:c r="I7" t="n">
        <x:v>610</x:v>
      </x:c>
      <x:c r="J7" t="n">
        <x:v>80</x:v>
      </x:c>
      <x:c r="K7" t="n">
        <x:v>62</x:v>
      </x:c>
      <x:c r="L7" t="n">
        <x:v>47</x:v>
      </x:c>
      <x:c r="M7" s="28" t="n">
        <x:v>82669307.44</x:v>
      </x:c>
      <x:c r="N7" s="28" t="n">
        <x:v>74884.47</x:v>
      </x:c>
      <x:c r="O7" s="30" t="n">
        <x:f>IFERROR(I7/H7,0)</x:f>
        <x:v>0.02210625498296731</x:v>
      </x:c>
      <x:c r="P7" s="30" t="n">
        <x:f>IFERROR(J7/I7,0)</x:f>
        <x:v>0.13114754098360656</x:v>
      </x:c>
      <x:c r="Q7" s="30" t="n">
        <x:f>IFERROR(K7/J7,0)</x:f>
        <x:v>0.775</x:v>
      </x:c>
      <x:c r="R7" s="30" t="n">
        <x:f>IFERROR(L7/K7,0)</x:f>
        <x:v>0.7580645161290323</x:v>
      </x:c>
      <x:c r="S7" s="28" t="n">
        <x:f>IFERROR(N7/J7,0)</x:f>
        <x:v>936.055875</x:v>
      </x:c>
      <x:c r="T7" s="28" t="n">
        <x:f>IFERROR(N7/K7,0)</x:f>
        <x:v>1207.8140322580646</x:v>
      </x:c>
      <x:c r="U7" s="28" t="n">
        <x:f>IFERROR(N7/L7,0)</x:f>
        <x:v>1593.2865957446809</x:v>
      </x:c>
    </x:row>
    <x:row r="8">
      <x:c r="A8" t="n">
        <x:v>7</x:v>
      </x:c>
      <x:c r="B8" s="26" t="n">
        <x:v>46024</x:v>
      </x:c>
      <x:c r="C8" t="str">
        <x:v>CPO_Acesso_Rapido</x:v>
      </x:c>
      <x:c r="D8" t="str">
        <x:v>Google Ads</x:v>
      </x:c>
      <x:c r="E8" t="str">
        <x:v>Funcionário Público</x:v>
      </x:c>
      <x:c r="F8" t="str">
        <x:v>Luanda</x:v>
      </x:c>
      <x:c r="G8" t="str">
        <x:v>Android</x:v>
      </x:c>
      <x:c r="H8" t="n">
        <x:v>17020</x:v>
      </x:c>
      <x:c r="I8" t="n">
        <x:v>609</x:v>
      </x:c>
      <x:c r="J8" t="n">
        <x:v>65</x:v>
      </x:c>
      <x:c r="K8" t="n">
        <x:v>51</x:v>
      </x:c>
      <x:c r="L8" t="n">
        <x:v>40</x:v>
      </x:c>
      <x:c r="M8" s="28" t="n">
        <x:v>77084693.95</x:v>
      </x:c>
      <x:c r="N8" s="28" t="n">
        <x:v>30914.39</x:v>
      </x:c>
      <x:c r="O8" s="30" t="n">
        <x:f>IFERROR(I8/H8,0)</x:f>
        <x:v>0.03578143360752056</x:v>
      </x:c>
      <x:c r="P8" s="30" t="n">
        <x:f>IFERROR(J8/I8,0)</x:f>
        <x:v>0.10673234811165845</x:v>
      </x:c>
      <x:c r="Q8" s="30" t="n">
        <x:f>IFERROR(K8/J8,0)</x:f>
        <x:v>0.7846153846153846</x:v>
      </x:c>
      <x:c r="R8" s="30" t="n">
        <x:f>IFERROR(L8/K8,0)</x:f>
        <x:v>0.7843137254901961</x:v>
      </x:c>
      <x:c r="S8" s="28" t="n">
        <x:f>IFERROR(N8/J8,0)</x:f>
        <x:v>475.606</x:v>
      </x:c>
      <x:c r="T8" s="28" t="n">
        <x:f>IFERROR(N8/K8,0)</x:f>
        <x:v>606.1645098039215</x:v>
      </x:c>
      <x:c r="U8" s="28" t="n">
        <x:f>IFERROR(N8/L8,0)</x:f>
        <x:v>772.85975</x:v>
      </x:c>
    </x:row>
    <x:row r="9">
      <x:c r="A9" t="n">
        <x:v>8</x:v>
      </x:c>
      <x:c r="B9" s="26" t="n">
        <x:v>46024</x:v>
      </x:c>
      <x:c r="C9" t="str">
        <x:v>CPO_Digital_360</x:v>
      </x:c>
      <x:c r="D9" t="str">
        <x:v>Meta Ads</x:v>
      </x:c>
      <x:c r="E9" t="str">
        <x:v>Funcionário Público</x:v>
      </x:c>
      <x:c r="F9" t="str">
        <x:v>Huíla</x:v>
      </x:c>
      <x:c r="G9" t="str">
        <x:v>Android</x:v>
      </x:c>
      <x:c r="H9" t="n">
        <x:v>11044</x:v>
      </x:c>
      <x:c r="I9" t="n">
        <x:v>231</x:v>
      </x:c>
      <x:c r="J9" t="n">
        <x:v>32</x:v>
      </x:c>
      <x:c r="K9" t="n">
        <x:v>23</x:v>
      </x:c>
      <x:c r="L9" t="n">
        <x:v>18</x:v>
      </x:c>
      <x:c r="M9" s="28" t="n">
        <x:v>36479035.95</x:v>
      </x:c>
      <x:c r="N9" s="28" t="n">
        <x:v>30883.15</x:v>
      </x:c>
      <x:c r="O9" s="30" t="n">
        <x:f>IFERROR(I9/H9,0)</x:f>
        <x:v>0.02091633466135458</x:v>
      </x:c>
      <x:c r="P9" s="30" t="n">
        <x:f>IFERROR(J9/I9,0)</x:f>
        <x:v>0.13852813852813853</x:v>
      </x:c>
      <x:c r="Q9" s="30" t="n">
        <x:f>IFERROR(K9/J9,0)</x:f>
        <x:v>0.71875</x:v>
      </x:c>
      <x:c r="R9" s="30" t="n">
        <x:f>IFERROR(L9/K9,0)</x:f>
        <x:v>0.782608695652174</x:v>
      </x:c>
      <x:c r="S9" s="28" t="n">
        <x:f>IFERROR(N9/J9,0)</x:f>
        <x:v>965.0984375</x:v>
      </x:c>
      <x:c r="T9" s="28" t="n">
        <x:f>IFERROR(N9/K9,0)</x:f>
        <x:v>1342.7456521739132</x:v>
      </x:c>
      <x:c r="U9" s="28" t="n">
        <x:f>IFERROR(N9/L9,0)</x:f>
        <x:v>1715.7305555555556</x:v>
      </x:c>
    </x:row>
    <x:row r="10">
      <x:c r="A10" t="n">
        <x:v>9</x:v>
      </x:c>
      <x:c r="B10" s="26" t="n">
        <x:v>46025</x:v>
      </x:c>
      <x:c r="C10" t="str">
        <x:v>CPO_Always_On</x:v>
      </x:c>
      <x:c r="D10" t="str">
        <x:v>E-mail</x:v>
      </x:c>
      <x:c r="E10" t="str">
        <x:v>Assalariado</x:v>
      </x:c>
      <x:c r="F10" t="str">
        <x:v>Huíla</x:v>
      </x:c>
      <x:c r="G10" t="str">
        <x:v>Android</x:v>
      </x:c>
      <x:c r="H10" t="n">
        <x:v>2597</x:v>
      </x:c>
      <x:c r="I10" t="n">
        <x:v>158</x:v>
      </x:c>
      <x:c r="J10" t="n">
        <x:v>15</x:v>
      </x:c>
      <x:c r="K10" t="n">
        <x:v>11</x:v>
      </x:c>
      <x:c r="L10" t="n">
        <x:v>8</x:v>
      </x:c>
      <x:c r="M10" s="28" t="n">
        <x:v>17298772.78</x:v>
      </x:c>
      <x:c r="N10" s="28" t="n">
        <x:v>43058.38</x:v>
      </x:c>
      <x:c r="O10" s="30" t="n">
        <x:f>IFERROR(I10/H10,0)</x:f>
        <x:v>0.06083943011166731</x:v>
      </x:c>
      <x:c r="P10" s="30" t="n">
        <x:f>IFERROR(J10/I10,0)</x:f>
        <x:v>0.0949367088607595</x:v>
      </x:c>
      <x:c r="Q10" s="30" t="n">
        <x:f>IFERROR(K10/J10,0)</x:f>
        <x:v>0.7333333333333333</x:v>
      </x:c>
      <x:c r="R10" s="30" t="n">
        <x:f>IFERROR(L10/K10,0)</x:f>
        <x:v>0.7272727272727273</x:v>
      </x:c>
      <x:c r="S10" s="28" t="n">
        <x:f>IFERROR(N10/J10,0)</x:f>
        <x:v>2870.5586666666663</x:v>
      </x:c>
      <x:c r="T10" s="28" t="n">
        <x:f>IFERROR(N10/K10,0)</x:f>
        <x:v>3914.3981818181815</x:v>
      </x:c>
      <x:c r="U10" s="28" t="n">
        <x:f>IFERROR(N10/L10,0)</x:f>
        <x:v>5382.2975</x:v>
      </x:c>
    </x:row>
    <x:row r="11">
      <x:c r="A11" t="n">
        <x:v>10</x:v>
      </x:c>
      <x:c r="B11" s="26" t="n">
        <x:v>46025</x:v>
      </x:c>
      <x:c r="C11" t="str">
        <x:v>CPO_Acesso_Rapido</x:v>
      </x:c>
      <x:c r="D11" t="str">
        <x:v>Meta Ads</x:v>
      </x:c>
      <x:c r="E11" t="str">
        <x:v>Assalariado</x:v>
      </x:c>
      <x:c r="F11" t="str">
        <x:v>Huíla</x:v>
      </x:c>
      <x:c r="G11" t="str">
        <x:v>iOS</x:v>
      </x:c>
      <x:c r="H11" t="n">
        <x:v>2616</x:v>
      </x:c>
      <x:c r="I11" t="n">
        <x:v>47</x:v>
      </x:c>
      <x:c r="J11" t="n">
        <x:v>6</x:v>
      </x:c>
      <x:c r="K11" t="n">
        <x:v>4</x:v>
      </x:c>
      <x:c r="L11" t="n">
        <x:v>3</x:v>
      </x:c>
      <x:c r="M11" s="28" t="n">
        <x:v>5647026.72</x:v>
      </x:c>
      <x:c r="N11" s="28" t="n">
        <x:v>8555.52</x:v>
      </x:c>
      <x:c r="O11" s="30" t="n">
        <x:f>IFERROR(I11/H11,0)</x:f>
        <x:v>0.017966360856269112</x:v>
      </x:c>
      <x:c r="P11" s="30" t="n">
        <x:f>IFERROR(J11/I11,0)</x:f>
        <x:v>0.1276595744680851</x:v>
      </x:c>
      <x:c r="Q11" s="30" t="n">
        <x:f>IFERROR(K11/J11,0)</x:f>
        <x:v>0.6666666666666666</x:v>
      </x:c>
      <x:c r="R11" s="30" t="n">
        <x:f>IFERROR(L11/K11,0)</x:f>
        <x:v>0.75</x:v>
      </x:c>
      <x:c r="S11" s="28" t="n">
        <x:f>IFERROR(N11/J11,0)</x:f>
        <x:v>1425.92</x:v>
      </x:c>
      <x:c r="T11" s="28" t="n">
        <x:f>IFERROR(N11/K11,0)</x:f>
        <x:v>2138.88</x:v>
      </x:c>
      <x:c r="U11" s="28" t="n">
        <x:f>IFERROR(N11/L11,0)</x:f>
        <x:v>2851.84</x:v>
      </x:c>
    </x:row>
    <x:row r="12">
      <x:c r="A12" t="n">
        <x:v>11</x:v>
      </x:c>
      <x:c r="B12" s="26" t="n">
        <x:v>46025</x:v>
      </x:c>
      <x:c r="C12" t="str">
        <x:v>CPO_Fim_do_Mes</x:v>
      </x:c>
      <x:c r="D12" t="str">
        <x:v>BAI Directo/App</x:v>
      </x:c>
      <x:c r="E12" t="str">
        <x:v>Jovem Profissional</x:v>
      </x:c>
      <x:c r="F12" t="str">
        <x:v>Benguela</x:v>
      </x:c>
      <x:c r="G12" t="str">
        <x:v>iOS</x:v>
      </x:c>
      <x:c r="H12" t="n">
        <x:v>9952</x:v>
      </x:c>
      <x:c r="I12" t="n">
        <x:v>1051</x:v>
      </x:c>
      <x:c r="J12" t="n">
        <x:v>233</x:v>
      </x:c>
      <x:c r="K12" t="n">
        <x:v>133</x:v>
      </x:c>
      <x:c r="L12" t="n">
        <x:v>67</x:v>
      </x:c>
      <x:c r="M12" s="28" t="n">
        <x:v>89175511.09</x:v>
      </x:c>
      <x:c r="N12" s="28" t="n">
        <x:v>84226.98</x:v>
      </x:c>
      <x:c r="O12" s="30" t="n">
        <x:f>IFERROR(I12/H12,0)</x:f>
        <x:v>0.10560691318327975</x:v>
      </x:c>
      <x:c r="P12" s="30" t="n">
        <x:f>IFERROR(J12/I12,0)</x:f>
        <x:v>0.22169362511893434</x:v>
      </x:c>
      <x:c r="Q12" s="30" t="n">
        <x:f>IFERROR(K12/J12,0)</x:f>
        <x:v>0.5708154506437768</x:v>
      </x:c>
      <x:c r="R12" s="30" t="n">
        <x:f>IFERROR(L12/K12,0)</x:f>
        <x:v>0.5037593984962406</x:v>
      </x:c>
      <x:c r="S12" s="28" t="n">
        <x:f>IFERROR(N12/J12,0)</x:f>
        <x:v>361.4891845493562</x:v>
      </x:c>
      <x:c r="T12" s="28" t="n">
        <x:f>IFERROR(N12/K12,0)</x:f>
        <x:v>633.2855639097744</x:v>
      </x:c>
      <x:c r="U12" s="28" t="n">
        <x:f>IFERROR(N12/L12,0)</x:f>
        <x:v>1257.119104477612</x:v>
      </x:c>
    </x:row>
    <x:row r="13">
      <x:c r="A13" t="n">
        <x:v>12</x:v>
      </x:c>
      <x:c r="B13" s="26" t="n">
        <x:v>46025</x:v>
      </x:c>
      <x:c r="C13" t="str">
        <x:v>CPO_Acesso_Rapido</x:v>
      </x:c>
      <x:c r="D13" t="str">
        <x:v>Meta Ads</x:v>
      </x:c>
      <x:c r="E13" t="str">
        <x:v>Premium</x:v>
      </x:c>
      <x:c r="F13" t="str">
        <x:v>Huíla</x:v>
      </x:c>
      <x:c r="G13" t="str">
        <x:v>iOS</x:v>
      </x:c>
      <x:c r="H13" t="n">
        <x:v>26084</x:v>
      </x:c>
      <x:c r="I13" t="n">
        <x:v>601</x:v>
      </x:c>
      <x:c r="J13" t="n">
        <x:v>58</x:v>
      </x:c>
      <x:c r="K13" t="n">
        <x:v>41</x:v>
      </x:c>
      <x:c r="L13" t="n">
        <x:v>28</x:v>
      </x:c>
      <x:c r="M13" s="28" t="n">
        <x:v>141254879.63</x:v>
      </x:c>
      <x:c r="N13" s="28" t="n">
        <x:v>54096.5</x:v>
      </x:c>
      <x:c r="O13" s="30" t="n">
        <x:f>IFERROR(I13/H13,0)</x:f>
        <x:v>0.023040944640392576</x:v>
      </x:c>
      <x:c r="P13" s="30" t="n">
        <x:f>IFERROR(J13/I13,0)</x:f>
        <x:v>0.09650582362728785</x:v>
      </x:c>
      <x:c r="Q13" s="30" t="n">
        <x:f>IFERROR(K13/J13,0)</x:f>
        <x:v>0.7068965517241379</x:v>
      </x:c>
      <x:c r="R13" s="30" t="n">
        <x:f>IFERROR(L13/K13,0)</x:f>
        <x:v>0.6829268292682927</x:v>
      </x:c>
      <x:c r="S13" s="28" t="n">
        <x:f>IFERROR(N13/J13,0)</x:f>
        <x:v>932.698275862069</x:v>
      </x:c>
      <x:c r="T13" s="28" t="n">
        <x:f>IFERROR(N13/K13,0)</x:f>
        <x:v>1319.4268292682927</x:v>
      </x:c>
      <x:c r="U13" s="28" t="n">
        <x:f>IFERROR(N13/L13,0)</x:f>
        <x:v>1932.017857142857</x:v>
      </x:c>
    </x:row>
    <x:row r="14">
      <x:c r="A14" t="n">
        <x:v>13</x:v>
      </x:c>
      <x:c r="B14" s="26" t="n">
        <x:v>46025</x:v>
      </x:c>
      <x:c r="C14" t="str">
        <x:v>CPO_Premium</x:v>
      </x:c>
      <x:c r="D14" t="str">
        <x:v>Google Ads</x:v>
      </x:c>
      <x:c r="E14" t="str">
        <x:v>Jovem Profissional</x:v>
      </x:c>
      <x:c r="F14" t="str">
        <x:v>Luanda</x:v>
      </x:c>
      <x:c r="G14" t="str">
        <x:v>Android</x:v>
      </x:c>
      <x:c r="H14" t="n">
        <x:v>22530</x:v>
      </x:c>
      <x:c r="I14" t="n">
        <x:v>733</x:v>
      </x:c>
      <x:c r="J14" t="n">
        <x:v>111</x:v>
      </x:c>
      <x:c r="K14" t="n">
        <x:v>51</x:v>
      </x:c>
      <x:c r="L14" t="n">
        <x:v>32</x:v>
      </x:c>
      <x:c r="M14" s="28" t="n">
        <x:v>39611846.68</x:v>
      </x:c>
      <x:c r="N14" s="28" t="n">
        <x:v>59262.88</x:v>
      </x:c>
      <x:c r="O14" s="30" t="n">
        <x:f>IFERROR(I14/H14,0)</x:f>
        <x:v>0.032534398579671546</x:v>
      </x:c>
      <x:c r="P14" s="30" t="n">
        <x:f>IFERROR(J14/I14,0)</x:f>
        <x:v>0.15143246930422918</x:v>
      </x:c>
      <x:c r="Q14" s="30" t="n">
        <x:f>IFERROR(K14/J14,0)</x:f>
        <x:v>0.4594594594594595</x:v>
      </x:c>
      <x:c r="R14" s="30" t="n">
        <x:f>IFERROR(L14/K14,0)</x:f>
        <x:v>0.6274509803921569</x:v>
      </x:c>
      <x:c r="S14" s="28" t="n">
        <x:f>IFERROR(N14/J14,0)</x:f>
        <x:v>533.8998198198198</x:v>
      </x:c>
      <x:c r="T14" s="28" t="n">
        <x:f>IFERROR(N14/K14,0)</x:f>
        <x:v>1162.0172549019608</x:v>
      </x:c>
      <x:c r="U14" s="28" t="n">
        <x:f>IFERROR(N14/L14,0)</x:f>
        <x:v>1851.965</x:v>
      </x:c>
    </x:row>
    <x:row r="15">
      <x:c r="A15" t="n">
        <x:v>14</x:v>
      </x:c>
      <x:c r="B15" s="26" t="n">
        <x:v>46026</x:v>
      </x:c>
      <x:c r="C15" t="str">
        <x:v>CPO_Premium</x:v>
      </x:c>
      <x:c r="D15" t="str">
        <x:v>TikTok Ads</x:v>
      </x:c>
      <x:c r="E15" t="str">
        <x:v>Pequeno Negócio</x:v>
      </x:c>
      <x:c r="F15" t="str">
        <x:v>Benguela</x:v>
      </x:c>
      <x:c r="G15" t="str">
        <x:v>Android</x:v>
      </x:c>
      <x:c r="H15" t="n">
        <x:v>5038</x:v>
      </x:c>
      <x:c r="I15" t="n">
        <x:v>73</x:v>
      </x:c>
      <x:c r="J15" t="n">
        <x:v>5</x:v>
      </x:c>
      <x:c r="K15" t="n">
        <x:v>2</x:v>
      </x:c>
      <x:c r="L15" t="n">
        <x:v>1</x:v>
      </x:c>
      <x:c r="M15" s="28" t="n">
        <x:v>3480094.23</x:v>
      </x:c>
      <x:c r="N15" s="28" t="n">
        <x:v>7339.43</x:v>
      </x:c>
      <x:c r="O15" s="30" t="n">
        <x:f>IFERROR(I15/H15,0)</x:f>
        <x:v>0.014489876935291782</x:v>
      </x:c>
      <x:c r="P15" s="30" t="n">
        <x:f>IFERROR(J15/I15,0)</x:f>
        <x:v>0.0684931506849315</x:v>
      </x:c>
      <x:c r="Q15" s="30" t="n">
        <x:f>IFERROR(K15/J15,0)</x:f>
        <x:v>0.4</x:v>
      </x:c>
      <x:c r="R15" s="30" t="n">
        <x:f>IFERROR(L15/K15,0)</x:f>
        <x:v>0.5</x:v>
      </x:c>
      <x:c r="S15" s="28" t="n">
        <x:f>IFERROR(N15/J15,0)</x:f>
        <x:v>1467.886</x:v>
      </x:c>
      <x:c r="T15" s="28" t="n">
        <x:f>IFERROR(N15/K15,0)</x:f>
        <x:v>3669.715</x:v>
      </x:c>
      <x:c r="U15" s="28" t="n">
        <x:f>IFERROR(N15/L15,0)</x:f>
        <x:v>7339.43</x:v>
      </x:c>
    </x:row>
    <x:row r="16">
      <x:c r="A16" t="n">
        <x:v>15</x:v>
      </x:c>
      <x:c r="B16" s="26" t="n">
        <x:v>46026</x:v>
      </x:c>
      <x:c r="C16" t="str">
        <x:v>CPO_Fim_do_Mes</x:v>
      </x:c>
      <x:c r="D16" t="str">
        <x:v>Google Ads</x:v>
      </x:c>
      <x:c r="E16" t="str">
        <x:v>Jovem Profissional</x:v>
      </x:c>
      <x:c r="F16" t="str">
        <x:v>Luanda</x:v>
      </x:c>
      <x:c r="G16" t="str">
        <x:v>Android</x:v>
      </x:c>
      <x:c r="H16" t="n">
        <x:v>17767</x:v>
      </x:c>
      <x:c r="I16" t="n">
        <x:v>584</x:v>
      </x:c>
      <x:c r="J16" t="n">
        <x:v>84</x:v>
      </x:c>
      <x:c r="K16" t="n">
        <x:v>47</x:v>
      </x:c>
      <x:c r="L16" t="n">
        <x:v>19</x:v>
      </x:c>
      <x:c r="M16" s="28" t="n">
        <x:v>23404287.37</x:v>
      </x:c>
      <x:c r="N16" s="28" t="n">
        <x:v>54743.45</x:v>
      </x:c>
      <x:c r="O16" s="30" t="n">
        <x:f>IFERROR(I16/H16,0)</x:f>
        <x:v>0.032869927393482296</x:v>
      </x:c>
      <x:c r="P16" s="30" t="n">
        <x:f>IFERROR(J16/I16,0)</x:f>
        <x:v>0.14383561643835616</x:v>
      </x:c>
      <x:c r="Q16" s="30" t="n">
        <x:f>IFERROR(K16/J16,0)</x:f>
        <x:v>0.5595238095238095</x:v>
      </x:c>
      <x:c r="R16" s="30" t="n">
        <x:f>IFERROR(L16/K16,0)</x:f>
        <x:v>0.40425531914893614</x:v>
      </x:c>
      <x:c r="S16" s="28" t="n">
        <x:f>IFERROR(N16/J16,0)</x:f>
        <x:v>651.707738095238</x:v>
      </x:c>
      <x:c r="T16" s="28" t="n">
        <x:f>IFERROR(N16/K16,0)</x:f>
        <x:v>1164.7542553191488</x:v>
      </x:c>
      <x:c r="U16" s="28" t="n">
        <x:f>IFERROR(N16/L16,0)</x:f>
        <x:v>2881.2342105263156</x:v>
      </x:c>
    </x:row>
    <x:row r="17">
      <x:c r="A17" t="n">
        <x:v>16</x:v>
      </x:c>
      <x:c r="B17" s="26" t="n">
        <x:v>46026</x:v>
      </x:c>
      <x:c r="C17" t="str">
        <x:v>CPO_Salario</x:v>
      </x:c>
      <x:c r="D17" t="str">
        <x:v>BAI Directo/App</x:v>
      </x:c>
      <x:c r="E17" t="str">
        <x:v>Funcionário Público</x:v>
      </x:c>
      <x:c r="F17" t="str">
        <x:v>Huambo</x:v>
      </x:c>
      <x:c r="G17" t="str">
        <x:v>Desktop</x:v>
      </x:c>
      <x:c r="H17" t="n">
        <x:v>11095</x:v>
      </x:c>
      <x:c r="I17" t="n">
        <x:v>649</x:v>
      </x:c>
      <x:c r="J17" t="n">
        <x:v>125</x:v>
      </x:c>
      <x:c r="K17" t="n">
        <x:v>77</x:v>
      </x:c>
      <x:c r="L17" t="n">
        <x:v>48</x:v>
      </x:c>
      <x:c r="M17" s="28" t="n">
        <x:v>85646894.79</x:v>
      </x:c>
      <x:c r="N17" s="28" t="n">
        <x:v>149315.35</x:v>
      </x:c>
      <x:c r="O17" s="30" t="n">
        <x:f>IFERROR(I17/H17,0)</x:f>
        <x:v>0.05849481748535376</x:v>
      </x:c>
      <x:c r="P17" s="30" t="n">
        <x:f>IFERROR(J17/I17,0)</x:f>
        <x:v>0.1926040061633282</x:v>
      </x:c>
      <x:c r="Q17" s="30" t="n">
        <x:f>IFERROR(K17/J17,0)</x:f>
        <x:v>0.616</x:v>
      </x:c>
      <x:c r="R17" s="30" t="n">
        <x:f>IFERROR(L17/K17,0)</x:f>
        <x:v>0.6233766233766234</x:v>
      </x:c>
      <x:c r="S17" s="28" t="n">
        <x:f>IFERROR(N17/J17,0)</x:f>
        <x:v>1194.5228</x:v>
      </x:c>
      <x:c r="T17" s="28" t="n">
        <x:f>IFERROR(N17/K17,0)</x:f>
        <x:v>1939.1603896103898</x:v>
      </x:c>
      <x:c r="U17" s="28" t="n">
        <x:f>IFERROR(N17/L17,0)</x:f>
        <x:v>3110.7364583333333</x:v>
      </x:c>
    </x:row>
    <x:row r="18">
      <x:c r="A18" t="n">
        <x:v>17</x:v>
      </x:c>
      <x:c r="B18" s="26" t="n">
        <x:v>46026</x:v>
      </x:c>
      <x:c r="C18" t="str">
        <x:v>CPO_Fim_do_Mes</x:v>
      </x:c>
      <x:c r="D18" t="str">
        <x:v>TikTok Ads</x:v>
      </x:c>
      <x:c r="E18" t="str">
        <x:v>Pequeno Negócio</x:v>
      </x:c>
      <x:c r="F18" t="str">
        <x:v>Cabinda</x:v>
      </x:c>
      <x:c r="G18" t="str">
        <x:v>iOS</x:v>
      </x:c>
      <x:c r="H18" t="n">
        <x:v>3845</x:v>
      </x:c>
      <x:c r="I18" t="n">
        <x:v>50</x:v>
      </x:c>
      <x:c r="J18" t="n">
        <x:v>5</x:v>
      </x:c>
      <x:c r="K18" t="n">
        <x:v>2</x:v>
      </x:c>
      <x:c r="L18" t="n">
        <x:v>1</x:v>
      </x:c>
      <x:c r="M18" s="28" t="n">
        <x:v>1986594.19</x:v>
      </x:c>
      <x:c r="N18" s="28" t="n">
        <x:v>8211.9</x:v>
      </x:c>
      <x:c r="O18" s="30" t="n">
        <x:f>IFERROR(I18/H18,0)</x:f>
        <x:v>0.013003901170351105</x:v>
      </x:c>
      <x:c r="P18" s="30" t="n">
        <x:f>IFERROR(J18/I18,0)</x:f>
        <x:v>0.1</x:v>
      </x:c>
      <x:c r="Q18" s="30" t="n">
        <x:f>IFERROR(K18/J18,0)</x:f>
        <x:v>0.4</x:v>
      </x:c>
      <x:c r="R18" s="30" t="n">
        <x:f>IFERROR(L18/K18,0)</x:f>
        <x:v>0.5</x:v>
      </x:c>
      <x:c r="S18" s="28" t="n">
        <x:f>IFERROR(N18/J18,0)</x:f>
        <x:v>1642.3799999999999</x:v>
      </x:c>
      <x:c r="T18" s="28" t="n">
        <x:f>IFERROR(N18/K18,0)</x:f>
        <x:v>4105.95</x:v>
      </x:c>
      <x:c r="U18" s="28" t="n">
        <x:f>IFERROR(N18/L18,0)</x:f>
        <x:v>8211.9</x:v>
      </x:c>
    </x:row>
    <x:row r="19">
      <x:c r="A19" t="n">
        <x:v>18</x:v>
      </x:c>
      <x:c r="B19" s="26" t="n">
        <x:v>46026</x:v>
      </x:c>
      <x:c r="C19" t="str">
        <x:v>CPO_Premium</x:v>
      </x:c>
      <x:c r="D19" t="str">
        <x:v>Meta Ads</x:v>
      </x:c>
      <x:c r="E19" t="str">
        <x:v>Funcionário Público</x:v>
      </x:c>
      <x:c r="F19" t="str">
        <x:v>Malanje</x:v>
      </x:c>
      <x:c r="G19" t="str">
        <x:v>iOS</x:v>
      </x:c>
      <x:c r="H19" t="n">
        <x:v>25677</x:v>
      </x:c>
      <x:c r="I19" t="n">
        <x:v>663</x:v>
      </x:c>
      <x:c r="J19" t="n">
        <x:v>78</x:v>
      </x:c>
      <x:c r="K19" t="n">
        <x:v>57</x:v>
      </x:c>
      <x:c r="L19" t="n">
        <x:v>33</x:v>
      </x:c>
      <x:c r="M19" s="28" t="n">
        <x:v>55418958.15</x:v>
      </x:c>
      <x:c r="N19" s="28" t="n">
        <x:v>72920.26</x:v>
      </x:c>
      <x:c r="O19" s="30" t="n">
        <x:f>IFERROR(I19/H19,0)</x:f>
        <x:v>0.025820773454842856</x:v>
      </x:c>
      <x:c r="P19" s="30" t="n">
        <x:f>IFERROR(J19/I19,0)</x:f>
        <x:v>0.11764705882352941</x:v>
      </x:c>
      <x:c r="Q19" s="30" t="n">
        <x:f>IFERROR(K19/J19,0)</x:f>
        <x:v>0.7307692307692307</x:v>
      </x:c>
      <x:c r="R19" s="30" t="n">
        <x:f>IFERROR(L19/K19,0)</x:f>
        <x:v>0.5789473684210527</x:v>
      </x:c>
      <x:c r="S19" s="28" t="n">
        <x:f>IFERROR(N19/J19,0)</x:f>
        <x:v>934.8751282051281</x:v>
      </x:c>
      <x:c r="T19" s="28" t="n">
        <x:f>IFERROR(N19/K19,0)</x:f>
        <x:v>1279.3028070175437</x:v>
      </x:c>
      <x:c r="U19" s="28" t="n">
        <x:f>IFERROR(N19/L19,0)</x:f>
        <x:v>2209.7048484848483</x:v>
      </x:c>
    </x:row>
    <x:row r="20">
      <x:c r="A20" t="n">
        <x:v>19</x:v>
      </x:c>
      <x:c r="B20" s="26" t="n">
        <x:v>46027</x:v>
      </x:c>
      <x:c r="C20" t="str">
        <x:v>CPO_Digital_360</x:v>
      </x:c>
      <x:c r="D20" t="str">
        <x:v>Meta Ads</x:v>
      </x:c>
      <x:c r="E20" t="str">
        <x:v>Premium</x:v>
      </x:c>
      <x:c r="F20" t="str">
        <x:v>Luanda</x:v>
      </x:c>
      <x:c r="G20" t="str">
        <x:v>iOS</x:v>
      </x:c>
      <x:c r="H20" t="n">
        <x:v>24256</x:v>
      </x:c>
      <x:c r="I20" t="n">
        <x:v>361</x:v>
      </x:c>
      <x:c r="J20" t="n">
        <x:v>36</x:v>
      </x:c>
      <x:c r="K20" t="n">
        <x:v>24</x:v>
      </x:c>
      <x:c r="L20" t="n">
        <x:v>18</x:v>
      </x:c>
      <x:c r="M20" s="28" t="n">
        <x:v>90394337.89</x:v>
      </x:c>
      <x:c r="N20" s="28" t="n">
        <x:v>26406.08</x:v>
      </x:c>
      <x:c r="O20" s="30" t="n">
        <x:f>IFERROR(I20/H20,0)</x:f>
        <x:v>0.014882915567282322</x:v>
      </x:c>
      <x:c r="P20" s="30" t="n">
        <x:f>IFERROR(J20/I20,0)</x:f>
        <x:v>0.0997229916897507</x:v>
      </x:c>
      <x:c r="Q20" s="30" t="n">
        <x:f>IFERROR(K20/J20,0)</x:f>
        <x:v>0.6666666666666666</x:v>
      </x:c>
      <x:c r="R20" s="30" t="n">
        <x:f>IFERROR(L20/K20,0)</x:f>
        <x:v>0.75</x:v>
      </x:c>
      <x:c r="S20" s="28" t="n">
        <x:f>IFERROR(N20/J20,0)</x:f>
        <x:v>733.5022222222223</x:v>
      </x:c>
      <x:c r="T20" s="28" t="n">
        <x:f>IFERROR(N20/K20,0)</x:f>
        <x:v>1100.2533333333333</x:v>
      </x:c>
      <x:c r="U20" s="28" t="n">
        <x:f>IFERROR(N20/L20,0)</x:f>
        <x:v>1467.0044444444445</x:v>
      </x:c>
    </x:row>
    <x:row r="21">
      <x:c r="A21" t="n">
        <x:v>20</x:v>
      </x:c>
      <x:c r="B21" s="26" t="n">
        <x:v>46027</x:v>
      </x:c>
      <x:c r="C21" t="str">
        <x:v>CPO_Fim_do_Mes</x:v>
      </x:c>
      <x:c r="D21" t="str">
        <x:v>Google Ads</x:v>
      </x:c>
      <x:c r="E21" t="str">
        <x:v>Premium</x:v>
      </x:c>
      <x:c r="F21" t="str">
        <x:v>Luanda</x:v>
      </x:c>
      <x:c r="G21" t="str">
        <x:v>Android</x:v>
      </x:c>
      <x:c r="H21" t="n">
        <x:v>6647</x:v>
      </x:c>
      <x:c r="I21" t="n">
        <x:v>187</x:v>
      </x:c>
      <x:c r="J21" t="n">
        <x:v>44</x:v>
      </x:c>
      <x:c r="K21" t="n">
        <x:v>28</x:v>
      </x:c>
      <x:c r="L21" t="n">
        <x:v>20</x:v>
      </x:c>
      <x:c r="M21" s="28" t="n">
        <x:v>110138670.26</x:v>
      </x:c>
      <x:c r="N21" s="28" t="n">
        <x:v>11626.81</x:v>
      </x:c>
      <x:c r="O21" s="30" t="n">
        <x:f>IFERROR(I21/H21,0)</x:f>
        <x:v>0.028132992327365727</x:v>
      </x:c>
      <x:c r="P21" s="30" t="n">
        <x:f>IFERROR(J21/I21,0)</x:f>
        <x:v>0.23529411764705882</x:v>
      </x:c>
      <x:c r="Q21" s="30" t="n">
        <x:f>IFERROR(K21/J21,0)</x:f>
        <x:v>0.6363636363636364</x:v>
      </x:c>
      <x:c r="R21" s="30" t="n">
        <x:f>IFERROR(L21/K21,0)</x:f>
        <x:v>0.7142857142857143</x:v>
      </x:c>
      <x:c r="S21" s="28" t="n">
        <x:f>IFERROR(N21/J21,0)</x:f>
        <x:v>264.2456818181818</x:v>
      </x:c>
      <x:c r="T21" s="28" t="n">
        <x:f>IFERROR(N21/K21,0)</x:f>
        <x:v>415.24321428571426</x:v>
      </x:c>
      <x:c r="U21" s="28" t="n">
        <x:f>IFERROR(N21/L21,0)</x:f>
        <x:v>581.3405</x:v>
      </x:c>
    </x:row>
    <x:row r="22">
      <x:c r="A22" t="n">
        <x:v>21</x:v>
      </x:c>
      <x:c r="B22" s="26" t="n">
        <x:v>46027</x:v>
      </x:c>
      <x:c r="C22" t="str">
        <x:v>CPO_Fim_do_Mes</x:v>
      </x:c>
      <x:c r="D22" t="str">
        <x:v>SMS</x:v>
      </x:c>
      <x:c r="E22" t="str">
        <x:v>Pequeno Negócio</x:v>
      </x:c>
      <x:c r="F22" t="str">
        <x:v>Huíla</x:v>
      </x:c>
      <x:c r="G22" t="str">
        <x:v>Android</x:v>
      </x:c>
      <x:c r="H22" t="n">
        <x:v>7132</x:v>
      </x:c>
      <x:c r="I22" t="n">
        <x:v>469</x:v>
      </x:c>
      <x:c r="J22" t="n">
        <x:v>65</x:v>
      </x:c>
      <x:c r="K22" t="n">
        <x:v>37</x:v>
      </x:c>
      <x:c r="L22" t="n">
        <x:v>10</x:v>
      </x:c>
      <x:c r="M22" s="28" t="n">
        <x:v>31523925.4</x:v>
      </x:c>
      <x:c r="N22" s="28" t="n">
        <x:v>29426.44</x:v>
      </x:c>
      <x:c r="O22" s="30" t="n">
        <x:f>IFERROR(I22/H22,0)</x:f>
        <x:v>0.06575995513180034</x:v>
      </x:c>
      <x:c r="P22" s="30" t="n">
        <x:f>IFERROR(J22/I22,0)</x:f>
        <x:v>0.13859275053304904</x:v>
      </x:c>
      <x:c r="Q22" s="30" t="n">
        <x:f>IFERROR(K22/J22,0)</x:f>
        <x:v>0.5692307692307692</x:v>
      </x:c>
      <x:c r="R22" s="30" t="n">
        <x:f>IFERROR(L22/K22,0)</x:f>
        <x:v>0.2702702702702703</x:v>
      </x:c>
      <x:c r="S22" s="28" t="n">
        <x:f>IFERROR(N22/J22,0)</x:f>
        <x:v>452.71446153846153</x:v>
      </x:c>
      <x:c r="T22" s="28" t="n">
        <x:f>IFERROR(N22/K22,0)</x:f>
        <x:v>795.3091891891892</x:v>
      </x:c>
      <x:c r="U22" s="28" t="n">
        <x:f>IFERROR(N22/L22,0)</x:f>
        <x:v>2942.644</x:v>
      </x:c>
    </x:row>
    <x:row r="23">
      <x:c r="A23" t="n">
        <x:v>22</x:v>
      </x:c>
      <x:c r="B23" s="26" t="n">
        <x:v>46028</x:v>
      </x:c>
      <x:c r="C23" t="str">
        <x:v>CPO_Acesso_Rapido</x:v>
      </x:c>
      <x:c r="D23" t="str">
        <x:v>SMS</x:v>
      </x:c>
      <x:c r="E23" t="str">
        <x:v>Funcionário Público</x:v>
      </x:c>
      <x:c r="F23" t="str">
        <x:v>Huambo</x:v>
      </x:c>
      <x:c r="G23" t="str">
        <x:v>Android</x:v>
      </x:c>
      <x:c r="H23" t="n">
        <x:v>4692</x:v>
      </x:c>
      <x:c r="I23" t="n">
        <x:v>382</x:v>
      </x:c>
      <x:c r="J23" t="n">
        <x:v>57</x:v>
      </x:c>
      <x:c r="K23" t="n">
        <x:v>41</x:v>
      </x:c>
      <x:c r="L23" t="n">
        <x:v>28</x:v>
      </x:c>
      <x:c r="M23" s="28" t="n">
        <x:v>50615923.21</x:v>
      </x:c>
      <x:c r="N23" s="28" t="n">
        <x:v>30187.7</x:v>
      </x:c>
      <x:c r="O23" s="30" t="n">
        <x:f>IFERROR(I23/H23,0)</x:f>
        <x:v>0.0814151747655584</x:v>
      </x:c>
      <x:c r="P23" s="30" t="n">
        <x:f>IFERROR(J23/I23,0)</x:f>
        <x:v>0.14921465968586387</x:v>
      </x:c>
      <x:c r="Q23" s="30" t="n">
        <x:f>IFERROR(K23/J23,0)</x:f>
        <x:v>0.7192982456140351</x:v>
      </x:c>
      <x:c r="R23" s="30" t="n">
        <x:f>IFERROR(L23/K23,0)</x:f>
        <x:v>0.6829268292682927</x:v>
      </x:c>
      <x:c r="S23" s="28" t="n">
        <x:f>IFERROR(N23/J23,0)</x:f>
        <x:v>529.6087719298246</x:v>
      </x:c>
      <x:c r="T23" s="28" t="n">
        <x:f>IFERROR(N23/K23,0)</x:f>
        <x:v>736.2853658536585</x:v>
      </x:c>
      <x:c r="U23" s="28" t="n">
        <x:f>IFERROR(N23/L23,0)</x:f>
        <x:v>1078.132142857143</x:v>
      </x:c>
    </x:row>
    <x:row r="24">
      <x:c r="A24" t="n">
        <x:v>23</x:v>
      </x:c>
      <x:c r="B24" s="26" t="n">
        <x:v>46028</x:v>
      </x:c>
      <x:c r="C24" t="str">
        <x:v>CPO_Always_On</x:v>
      </x:c>
      <x:c r="D24" t="str">
        <x:v>BAI Directo/App</x:v>
      </x:c>
      <x:c r="E24" t="str">
        <x:v>Pequeno Negócio</x:v>
      </x:c>
      <x:c r="F24" t="str">
        <x:v>Huíla</x:v>
      </x:c>
      <x:c r="G24" t="str">
        <x:v>Android</x:v>
      </x:c>
      <x:c r="H24" t="n">
        <x:v>5315</x:v>
      </x:c>
      <x:c r="I24" t="n">
        <x:v>391</x:v>
      </x:c>
      <x:c r="J24" t="n">
        <x:v>71</x:v>
      </x:c>
      <x:c r="K24" t="n">
        <x:v>34</x:v>
      </x:c>
      <x:c r="L24" t="n">
        <x:v>20</x:v>
      </x:c>
      <x:c r="M24" s="28" t="n">
        <x:v>59242888.63</x:v>
      </x:c>
      <x:c r="N24" s="28" t="n">
        <x:v>77536.38</x:v>
      </x:c>
      <x:c r="O24" s="30" t="n">
        <x:f>IFERROR(I24/H24,0)</x:f>
        <x:v>0.0735653809971778</x:v>
      </x:c>
      <x:c r="P24" s="30" t="n">
        <x:f>IFERROR(J24/I24,0)</x:f>
        <x:v>0.1815856777493606</x:v>
      </x:c>
      <x:c r="Q24" s="30" t="n">
        <x:f>IFERROR(K24/J24,0)</x:f>
        <x:v>0.4788732394366197</x:v>
      </x:c>
      <x:c r="R24" s="30" t="n">
        <x:f>IFERROR(L24/K24,0)</x:f>
        <x:v>0.5882352941176471</x:v>
      </x:c>
      <x:c r="S24" s="28" t="n">
        <x:f>IFERROR(N24/J24,0)</x:f>
        <x:v>1092.061690140845</x:v>
      </x:c>
      <x:c r="T24" s="28" t="n">
        <x:f>IFERROR(N24/K24,0)</x:f>
        <x:v>2280.4817647058826</x:v>
      </x:c>
      <x:c r="U24" s="28" t="n">
        <x:f>IFERROR(N24/L24,0)</x:f>
        <x:v>3876.8190000000004</x:v>
      </x:c>
    </x:row>
    <x:row r="25">
      <x:c r="A25" t="n">
        <x:v>24</x:v>
      </x:c>
      <x:c r="B25" s="26" t="n">
        <x:v>46028</x:v>
      </x:c>
      <x:c r="C25" t="str">
        <x:v>CPO_Premium</x:v>
      </x:c>
      <x:c r="D25" t="str">
        <x:v>E-mail</x:v>
      </x:c>
      <x:c r="E25" t="str">
        <x:v>Assalariado</x:v>
      </x:c>
      <x:c r="F25" t="str">
        <x:v>Huíla</x:v>
      </x:c>
      <x:c r="G25" t="str">
        <x:v>Android</x:v>
      </x:c>
      <x:c r="H25" t="n">
        <x:v>1788</x:v>
      </x:c>
      <x:c r="I25" t="n">
        <x:v>106</x:v>
      </x:c>
      <x:c r="J25" t="n">
        <x:v>12</x:v>
      </x:c>
      <x:c r="K25" t="n">
        <x:v>8</x:v>
      </x:c>
      <x:c r="L25" t="n">
        <x:v>4</x:v>
      </x:c>
      <x:c r="M25" s="28" t="n">
        <x:v>6327671.48</x:v>
      </x:c>
      <x:c r="N25" s="28" t="n">
        <x:v>17114.27</x:v>
      </x:c>
      <x:c r="O25" s="30" t="n">
        <x:f>IFERROR(I25/H25,0)</x:f>
        <x:v>0.0592841163310962</x:v>
      </x:c>
      <x:c r="P25" s="30" t="n">
        <x:f>IFERROR(J25/I25,0)</x:f>
        <x:v>0.11320754716981132</x:v>
      </x:c>
      <x:c r="Q25" s="30" t="n">
        <x:f>IFERROR(K25/J25,0)</x:f>
        <x:v>0.6666666666666666</x:v>
      </x:c>
      <x:c r="R25" s="30" t="n">
        <x:f>IFERROR(L25/K25,0)</x:f>
        <x:v>0.5</x:v>
      </x:c>
      <x:c r="S25" s="28" t="n">
        <x:f>IFERROR(N25/J25,0)</x:f>
        <x:v>1426.1891666666668</x:v>
      </x:c>
      <x:c r="T25" s="28" t="n">
        <x:f>IFERROR(N25/K25,0)</x:f>
        <x:v>2139.28375</x:v>
      </x:c>
      <x:c r="U25" s="28" t="n">
        <x:f>IFERROR(N25/L25,0)</x:f>
        <x:v>4278.5675</x:v>
      </x:c>
    </x:row>
    <x:row r="26">
      <x:c r="A26" t="n">
        <x:v>25</x:v>
      </x:c>
      <x:c r="B26" s="26" t="n">
        <x:v>46029</x:v>
      </x:c>
      <x:c r="C26" t="str">
        <x:v>CPO_Salario</x:v>
      </x:c>
      <x:c r="D26" t="str">
        <x:v>SMS</x:v>
      </x:c>
      <x:c r="E26" t="str">
        <x:v>Assalariado</x:v>
      </x:c>
      <x:c r="F26" t="str">
        <x:v>Luanda</x:v>
      </x:c>
      <x:c r="G26" t="str">
        <x:v>iOS</x:v>
      </x:c>
      <x:c r="H26" t="n">
        <x:v>3494</x:v>
      </x:c>
      <x:c r="I26" t="n">
        <x:v>293</x:v>
      </x:c>
      <x:c r="J26" t="n">
        <x:v>39</x:v>
      </x:c>
      <x:c r="K26" t="n">
        <x:v>25</x:v>
      </x:c>
      <x:c r="L26" t="n">
        <x:v>18</x:v>
      </x:c>
      <x:c r="M26" s="28" t="n">
        <x:v>41652087.67</x:v>
      </x:c>
      <x:c r="N26" s="28" t="n">
        <x:v>50977.9</x:v>
      </x:c>
      <x:c r="O26" s="30" t="n">
        <x:f>IFERROR(I26/H26,0)</x:f>
        <x:v>0.08385804235832857</x:v>
      </x:c>
      <x:c r="P26" s="30" t="n">
        <x:f>IFERROR(J26/I26,0)</x:f>
        <x:v>0.13310580204778158</x:v>
      </x:c>
      <x:c r="Q26" s="30" t="n">
        <x:f>IFERROR(K26/J26,0)</x:f>
        <x:v>0.6410256410256411</x:v>
      </x:c>
      <x:c r="R26" s="30" t="n">
        <x:f>IFERROR(L26/K26,0)</x:f>
        <x:v>0.72</x:v>
      </x:c>
      <x:c r="S26" s="28" t="n">
        <x:f>IFERROR(N26/J26,0)</x:f>
        <x:v>1307.125641025641</x:v>
      </x:c>
      <x:c r="T26" s="28" t="n">
        <x:f>IFERROR(N26/K26,0)</x:f>
        <x:v>2039.116</x:v>
      </x:c>
      <x:c r="U26" s="28" t="n">
        <x:f>IFERROR(N26/L26,0)</x:f>
        <x:v>2832.105555555556</x:v>
      </x:c>
    </x:row>
    <x:row r="27">
      <x:c r="A27" t="n">
        <x:v>26</x:v>
      </x:c>
      <x:c r="B27" s="26" t="n">
        <x:v>46029</x:v>
      </x:c>
      <x:c r="C27" t="str">
        <x:v>CPO_Acesso_Rapido</x:v>
      </x:c>
      <x:c r="D27" t="str">
        <x:v>SMS</x:v>
      </x:c>
      <x:c r="E27" t="str">
        <x:v>Premium</x:v>
      </x:c>
      <x:c r="F27" t="str">
        <x:v>Uíge</x:v>
      </x:c>
      <x:c r="G27" t="str">
        <x:v>Android</x:v>
      </x:c>
      <x:c r="H27" t="n">
        <x:v>5534</x:v>
      </x:c>
      <x:c r="I27" t="n">
        <x:v>441</x:v>
      </x:c>
      <x:c r="J27" t="n">
        <x:v>38</x:v>
      </x:c>
      <x:c r="K27" t="n">
        <x:v>24</x:v>
      </x:c>
      <x:c r="L27" t="n">
        <x:v>17</x:v>
      </x:c>
      <x:c r="M27" s="28" t="n">
        <x:v>80834186.63</x:v>
      </x:c>
      <x:c r="N27" s="28" t="n">
        <x:v>82378.6</x:v>
      </x:c>
      <x:c r="O27" s="30" t="n">
        <x:f>IFERROR(I27/H27,0)</x:f>
        <x:v>0.07968919407300325</x:v>
      </x:c>
      <x:c r="P27" s="30" t="n">
        <x:f>IFERROR(J27/I27,0)</x:f>
        <x:v>0.08616780045351474</x:v>
      </x:c>
      <x:c r="Q27" s="30" t="n">
        <x:f>IFERROR(K27/J27,0)</x:f>
        <x:v>0.631578947368421</x:v>
      </x:c>
      <x:c r="R27" s="30" t="n">
        <x:f>IFERROR(L27/K27,0)</x:f>
        <x:v>0.7083333333333334</x:v>
      </x:c>
      <x:c r="S27" s="28" t="n">
        <x:f>IFERROR(N27/J27,0)</x:f>
        <x:v>2167.8578947368424</x:v>
      </x:c>
      <x:c r="T27" s="28" t="n">
        <x:f>IFERROR(N27/K27,0)</x:f>
        <x:v>3432.441666666667</x:v>
      </x:c>
      <x:c r="U27" s="28" t="n">
        <x:f>IFERROR(N27/L27,0)</x:f>
        <x:v>4845.8</x:v>
      </x:c>
    </x:row>
    <x:row r="28">
      <x:c r="A28" t="n">
        <x:v>27</x:v>
      </x:c>
      <x:c r="B28" s="26" t="n">
        <x:v>46029</x:v>
      </x:c>
      <x:c r="C28" t="str">
        <x:v>CPO_Fim_do_Mes</x:v>
      </x:c>
      <x:c r="D28" t="str">
        <x:v>BAI Directo/App</x:v>
      </x:c>
      <x:c r="E28" t="str">
        <x:v>Jovem Profissional</x:v>
      </x:c>
      <x:c r="F28" t="str">
        <x:v>Benguela</x:v>
      </x:c>
      <x:c r="G28" t="str">
        <x:v>Android</x:v>
      </x:c>
      <x:c r="H28" t="n">
        <x:v>10569</x:v>
      </x:c>
      <x:c r="I28" t="n">
        <x:v>1681</x:v>
      </x:c>
      <x:c r="J28" t="n">
        <x:v>339</x:v>
      </x:c>
      <x:c r="K28" t="n">
        <x:v>193</x:v>
      </x:c>
      <x:c r="L28" t="n">
        <x:v>114</x:v>
      </x:c>
      <x:c r="M28" s="28" t="n">
        <x:v>160323826.08</x:v>
      </x:c>
      <x:c r="N28" s="28" t="n">
        <x:v>43644.58</x:v>
      </x:c>
      <x:c r="O28" s="30" t="n">
        <x:f>IFERROR(I28/H28,0)</x:f>
        <x:v>0.15905005203898193</x:v>
      </x:c>
      <x:c r="P28" s="30" t="n">
        <x:f>IFERROR(J28/I28,0)</x:f>
        <x:v>0.2016656751933373</x:v>
      </x:c>
      <x:c r="Q28" s="30" t="n">
        <x:f>IFERROR(K28/J28,0)</x:f>
        <x:v>0.5693215339233039</x:v>
      </x:c>
      <x:c r="R28" s="30" t="n">
        <x:f>IFERROR(L28/K28,0)</x:f>
        <x:v>0.5906735751295337</x:v>
      </x:c>
      <x:c r="S28" s="28" t="n">
        <x:f>IFERROR(N28/J28,0)</x:f>
        <x:v>128.7450737463127</x:v>
      </x:c>
      <x:c r="T28" s="28" t="n">
        <x:f>IFERROR(N28/K28,0)</x:f>
        <x:v>226.1377202072539</x:v>
      </x:c>
      <x:c r="U28" s="28" t="n">
        <x:f>IFERROR(N28/L28,0)</x:f>
        <x:v>382.84719298245614</x:v>
      </x:c>
    </x:row>
    <x:row r="29">
      <x:c r="A29" t="n">
        <x:v>28</x:v>
      </x:c>
      <x:c r="B29" s="26" t="n">
        <x:v>46029</x:v>
      </x:c>
      <x:c r="C29" t="str">
        <x:v>CPO_Digital_360</x:v>
      </x:c>
      <x:c r="D29" t="str">
        <x:v>Google Ads</x:v>
      </x:c>
      <x:c r="E29" t="str">
        <x:v>Funcionário Público</x:v>
      </x:c>
      <x:c r="F29" t="str">
        <x:v>Malanje</x:v>
      </x:c>
      <x:c r="G29" t="str">
        <x:v>iOS</x:v>
      </x:c>
      <x:c r="H29" t="n">
        <x:v>5459</x:v>
      </x:c>
      <x:c r="I29" t="n">
        <x:v>130</x:v>
      </x:c>
      <x:c r="J29" t="n">
        <x:v>21</x:v>
      </x:c>
      <x:c r="K29" t="n">
        <x:v>14</x:v>
      </x:c>
      <x:c r="L29" t="n">
        <x:v>8</x:v>
      </x:c>
      <x:c r="M29" s="28" t="n">
        <x:v>11796057.52</x:v>
      </x:c>
      <x:c r="N29" s="28" t="n">
        <x:v>22517.83</x:v>
      </x:c>
      <x:c r="O29" s="30" t="n">
        <x:f>IFERROR(I29/H29,0)</x:f>
        <x:v>0.023813885326982965</x:v>
      </x:c>
      <x:c r="P29" s="30" t="n">
        <x:f>IFERROR(J29/I29,0)</x:f>
        <x:v>0.16153846153846155</x:v>
      </x:c>
      <x:c r="Q29" s="30" t="n">
        <x:f>IFERROR(K29/J29,0)</x:f>
        <x:v>0.6666666666666666</x:v>
      </x:c>
      <x:c r="R29" s="30" t="n">
        <x:f>IFERROR(L29/K29,0)</x:f>
        <x:v>0.5714285714285714</x:v>
      </x:c>
      <x:c r="S29" s="28" t="n">
        <x:f>IFERROR(N29/J29,0)</x:f>
        <x:v>1072.277619047619</x:v>
      </x:c>
      <x:c r="T29" s="28" t="n">
        <x:f>IFERROR(N29/K29,0)</x:f>
        <x:v>1608.4164285714287</x:v>
      </x:c>
      <x:c r="U29" s="28" t="n">
        <x:f>IFERROR(N29/L29,0)</x:f>
        <x:v>2814.72875</x:v>
      </x:c>
    </x:row>
    <x:row r="30">
      <x:c r="A30" t="n">
        <x:v>29</x:v>
      </x:c>
      <x:c r="B30" s="26" t="n">
        <x:v>46029</x:v>
      </x:c>
      <x:c r="C30" t="str">
        <x:v>CPO_Acesso_Rapido</x:v>
      </x:c>
      <x:c r="D30" t="str">
        <x:v>E-mail</x:v>
      </x:c>
      <x:c r="E30" t="str">
        <x:v>Premium</x:v>
      </x:c>
      <x:c r="F30" t="str">
        <x:v>Uíge</x:v>
      </x:c>
      <x:c r="G30" t="str">
        <x:v>Android</x:v>
      </x:c>
      <x:c r="H30" t="n">
        <x:v>11310</x:v>
      </x:c>
      <x:c r="I30" t="n">
        <x:v>653</x:v>
      </x:c>
      <x:c r="J30" t="n">
        <x:v>77</x:v>
      </x:c>
      <x:c r="K30" t="n">
        <x:v>46</x:v>
      </x:c>
      <x:c r="L30" t="n">
        <x:v>34</x:v>
      </x:c>
      <x:c r="M30" s="28" t="n">
        <x:v>189877778.65</x:v>
      </x:c>
      <x:c r="N30" s="28" t="n">
        <x:v>146368.72</x:v>
      </x:c>
      <x:c r="O30" s="30" t="n">
        <x:f>IFERROR(I30/H30,0)</x:f>
        <x:v>0.05773651635720601</x:v>
      </x:c>
      <x:c r="P30" s="30" t="n">
        <x:f>IFERROR(J30/I30,0)</x:f>
        <x:v>0.11791730474732007</x:v>
      </x:c>
      <x:c r="Q30" s="30" t="n">
        <x:f>IFERROR(K30/J30,0)</x:f>
        <x:v>0.5974025974025974</x:v>
      </x:c>
      <x:c r="R30" s="30" t="n">
        <x:f>IFERROR(L30/K30,0)</x:f>
        <x:v>0.7391304347826086</x:v>
      </x:c>
      <x:c r="S30" s="28" t="n">
        <x:f>IFERROR(N30/J30,0)</x:f>
        <x:v>1900.8924675324674</x:v>
      </x:c>
      <x:c r="T30" s="28" t="n">
        <x:f>IFERROR(N30/K30,0)</x:f>
        <x:v>3181.928695652174</x:v>
      </x:c>
      <x:c r="U30" s="28" t="n">
        <x:f>IFERROR(N30/L30,0)</x:f>
        <x:v>4304.9623529411765</x:v>
      </x:c>
    </x:row>
    <x:row r="31">
      <x:c r="A31" t="n">
        <x:v>30</x:v>
      </x:c>
      <x:c r="B31" s="26" t="n">
        <x:v>46030</x:v>
      </x:c>
      <x:c r="C31" t="str">
        <x:v>CPO_Digital_360</x:v>
      </x:c>
      <x:c r="D31" t="str">
        <x:v>BAI Directo/App</x:v>
      </x:c>
      <x:c r="E31" t="str">
        <x:v>Pequeno Negócio</x:v>
      </x:c>
      <x:c r="F31" t="str">
        <x:v>Malanje</x:v>
      </x:c>
      <x:c r="G31" t="str">
        <x:v>Android</x:v>
      </x:c>
      <x:c r="H31" t="n">
        <x:v>4890</x:v>
      </x:c>
      <x:c r="I31" t="n">
        <x:v>432</x:v>
      </x:c>
      <x:c r="J31" t="n">
        <x:v>119</x:v>
      </x:c>
      <x:c r="K31" t="n">
        <x:v>51</x:v>
      </x:c>
      <x:c r="L31" t="n">
        <x:v>27</x:v>
      </x:c>
      <x:c r="M31" s="28" t="n">
        <x:v>83907193.48</x:v>
      </x:c>
      <x:c r="N31" s="28" t="n">
        <x:v>58215.4</x:v>
      </x:c>
      <x:c r="O31" s="30" t="n">
        <x:f>IFERROR(I31/H31,0)</x:f>
        <x:v>0.08834355828220859</x:v>
      </x:c>
      <x:c r="P31" s="30" t="n">
        <x:f>IFERROR(J31/I31,0)</x:f>
        <x:v>0.27546296296296297</x:v>
      </x:c>
      <x:c r="Q31" s="30" t="n">
        <x:f>IFERROR(K31/J31,0)</x:f>
        <x:v>0.42857142857142855</x:v>
      </x:c>
      <x:c r="R31" s="30" t="n">
        <x:f>IFERROR(L31/K31,0)</x:f>
        <x:v>0.5294117647058824</x:v>
      </x:c>
      <x:c r="S31" s="28" t="n">
        <x:f>IFERROR(N31/J31,0)</x:f>
        <x:v>489.2050420168067</x:v>
      </x:c>
      <x:c r="T31" s="28" t="n">
        <x:f>IFERROR(N31/K31,0)</x:f>
        <x:v>1141.478431372549</x:v>
      </x:c>
      <x:c r="U31" s="28" t="n">
        <x:f>IFERROR(N31/L31,0)</x:f>
        <x:v>2156.125925925926</x:v>
      </x:c>
    </x:row>
    <x:row r="32">
      <x:c r="A32" t="n">
        <x:v>31</x:v>
      </x:c>
      <x:c r="B32" s="26" t="n">
        <x:v>46030</x:v>
      </x:c>
      <x:c r="C32" t="str">
        <x:v>CPO_Always_On</x:v>
      </x:c>
      <x:c r="D32" t="str">
        <x:v>SMS</x:v>
      </x:c>
      <x:c r="E32" t="str">
        <x:v>Pequeno Negócio</x:v>
      </x:c>
      <x:c r="F32" t="str">
        <x:v>Luanda</x:v>
      </x:c>
      <x:c r="G32" t="str">
        <x:v>Android</x:v>
      </x:c>
      <x:c r="H32" t="n">
        <x:v>11695</x:v>
      </x:c>
      <x:c r="I32" t="n">
        <x:v>754</x:v>
      </x:c>
      <x:c r="J32" t="n">
        <x:v>95</x:v>
      </x:c>
      <x:c r="K32" t="n">
        <x:v>44</x:v>
      </x:c>
      <x:c r="L32" t="n">
        <x:v>21</x:v>
      </x:c>
      <x:c r="M32" s="28" t="n">
        <x:v>58094507.73</x:v>
      </x:c>
      <x:c r="N32" s="28" t="n">
        <x:v>161538.34</x:v>
      </x:c>
      <x:c r="O32" s="30" t="n">
        <x:f>IFERROR(I32/H32,0)</x:f>
        <x:v>0.06447199657973493</x:v>
      </x:c>
      <x:c r="P32" s="30" t="n">
        <x:f>IFERROR(J32/I32,0)</x:f>
        <x:v>0.1259946949602122</x:v>
      </x:c>
      <x:c r="Q32" s="30" t="n">
        <x:f>IFERROR(K32/J32,0)</x:f>
        <x:v>0.4631578947368421</x:v>
      </x:c>
      <x:c r="R32" s="30" t="n">
        <x:f>IFERROR(L32/K32,0)</x:f>
        <x:v>0.4772727272727273</x:v>
      </x:c>
      <x:c r="S32" s="28" t="n">
        <x:f>IFERROR(N32/J32,0)</x:f>
        <x:v>1700.4035789473685</x:v>
      </x:c>
      <x:c r="T32" s="28" t="n">
        <x:f>IFERROR(N32/K32,0)</x:f>
        <x:v>3671.325909090909</x:v>
      </x:c>
      <x:c r="U32" s="28" t="n">
        <x:f>IFERROR(N32/L32,0)</x:f>
        <x:v>7692.301904761905</x:v>
      </x:c>
    </x:row>
    <x:row r="33">
      <x:c r="A33" t="n">
        <x:v>32</x:v>
      </x:c>
      <x:c r="B33" s="26" t="n">
        <x:v>46030</x:v>
      </x:c>
      <x:c r="C33" t="str">
        <x:v>CPO_Digital_360</x:v>
      </x:c>
      <x:c r="D33" t="str">
        <x:v>Google Ads</x:v>
      </x:c>
      <x:c r="E33" t="str">
        <x:v>Funcionário Público</x:v>
      </x:c>
      <x:c r="F33" t="str">
        <x:v>Benguela</x:v>
      </x:c>
      <x:c r="G33" t="str">
        <x:v>Android</x:v>
      </x:c>
      <x:c r="H33" t="n">
        <x:v>17360</x:v>
      </x:c>
      <x:c r="I33" t="n">
        <x:v>374</x:v>
      </x:c>
      <x:c r="J33" t="n">
        <x:v>46</x:v>
      </x:c>
      <x:c r="K33" t="n">
        <x:v>35</x:v>
      </x:c>
      <x:c r="L33" t="n">
        <x:v>23</x:v>
      </x:c>
      <x:c r="M33" s="28" t="n">
        <x:v>43425251.34</x:v>
      </x:c>
      <x:c r="N33" s="28" t="n">
        <x:v>22448.26</x:v>
      </x:c>
      <x:c r="O33" s="30" t="n">
        <x:f>IFERROR(I33/H33,0)</x:f>
        <x:v>0.021543778801843317</x:v>
      </x:c>
      <x:c r="P33" s="30" t="n">
        <x:f>IFERROR(J33/I33,0)</x:f>
        <x:v>0.12299465240641712</x:v>
      </x:c>
      <x:c r="Q33" s="30" t="n">
        <x:f>IFERROR(K33/J33,0)</x:f>
        <x:v>0.7608695652173914</x:v>
      </x:c>
      <x:c r="R33" s="30" t="n">
        <x:f>IFERROR(L33/K33,0)</x:f>
        <x:v>0.6571428571428571</x:v>
      </x:c>
      <x:c r="S33" s="28" t="n">
        <x:f>IFERROR(N33/J33,0)</x:f>
        <x:v>488.005652173913</x:v>
      </x:c>
      <x:c r="T33" s="28" t="n">
        <x:f>IFERROR(N33/K33,0)</x:f>
        <x:v>641.3788571428571</x:v>
      </x:c>
      <x:c r="U33" s="28" t="n">
        <x:f>IFERROR(N33/L33,0)</x:f>
        <x:v>976.011304347826</x:v>
      </x:c>
    </x:row>
    <x:row r="34">
      <x:c r="A34" t="n">
        <x:v>33</x:v>
      </x:c>
      <x:c r="B34" s="26" t="n">
        <x:v>46030</x:v>
      </x:c>
      <x:c r="C34" t="str">
        <x:v>CPO_Acesso_Rapido</x:v>
      </x:c>
      <x:c r="D34" t="str">
        <x:v>E-mail</x:v>
      </x:c>
      <x:c r="E34" t="str">
        <x:v>Jovem Profissional</x:v>
      </x:c>
      <x:c r="F34" t="str">
        <x:v>Luanda</x:v>
      </x:c>
      <x:c r="G34" t="str">
        <x:v>Android</x:v>
      </x:c>
      <x:c r="H34" t="n">
        <x:v>6636</x:v>
      </x:c>
      <x:c r="I34" t="n">
        <x:v>408</x:v>
      </x:c>
      <x:c r="J34" t="n">
        <x:v>35</x:v>
      </x:c>
      <x:c r="K34" t="n">
        <x:v>19</x:v>
      </x:c>
      <x:c r="L34" t="n">
        <x:v>9</x:v>
      </x:c>
      <x:c r="M34" s="28" t="n">
        <x:v>12283289.69</x:v>
      </x:c>
      <x:c r="N34" s="28" t="n">
        <x:v>37866.62</x:v>
      </x:c>
      <x:c r="O34" s="30" t="n">
        <x:f>IFERROR(I34/H34,0)</x:f>
        <x:v>0.06148282097649186</x:v>
      </x:c>
      <x:c r="P34" s="30" t="n">
        <x:f>IFERROR(J34/I34,0)</x:f>
        <x:v>0.0857843137254902</x:v>
      </x:c>
      <x:c r="Q34" s="30" t="n">
        <x:f>IFERROR(K34/J34,0)</x:f>
        <x:v>0.5428571428571428</x:v>
      </x:c>
      <x:c r="R34" s="30" t="n">
        <x:f>IFERROR(L34/K34,0)</x:f>
        <x:v>0.47368421052631576</x:v>
      </x:c>
      <x:c r="S34" s="28" t="n">
        <x:f>IFERROR(N34/J34,0)</x:f>
        <x:v>1081.9034285714285</x:v>
      </x:c>
      <x:c r="T34" s="28" t="n">
        <x:f>IFERROR(N34/K34,0)</x:f>
        <x:v>1992.9800000000002</x:v>
      </x:c>
      <x:c r="U34" s="28" t="n">
        <x:f>IFERROR(N34/L34,0)</x:f>
        <x:v>4207.402222222223</x:v>
      </x:c>
    </x:row>
    <x:row r="35">
      <x:c r="A35" t="n">
        <x:v>34</x:v>
      </x:c>
      <x:c r="B35" s="26" t="n">
        <x:v>46030</x:v>
      </x:c>
      <x:c r="C35" t="str">
        <x:v>CPO_Salario</x:v>
      </x:c>
      <x:c r="D35" t="str">
        <x:v>BAI Directo/App</x:v>
      </x:c>
      <x:c r="E35" t="str">
        <x:v>Premium</x:v>
      </x:c>
      <x:c r="F35" t="str">
        <x:v>Uíge</x:v>
      </x:c>
      <x:c r="G35" t="str">
        <x:v>Android</x:v>
      </x:c>
      <x:c r="H35" t="n">
        <x:v>3247</x:v>
      </x:c>
      <x:c r="I35" t="n">
        <x:v>303</x:v>
      </x:c>
      <x:c r="J35" t="n">
        <x:v>53</x:v>
      </x:c>
      <x:c r="K35" t="n">
        <x:v>37</x:v>
      </x:c>
      <x:c r="L35" t="n">
        <x:v>31</x:v>
      </x:c>
      <x:c r="M35" s="28" t="n">
        <x:v>169027476.41</x:v>
      </x:c>
      <x:c r="N35" s="28" t="n">
        <x:v>24421.63</x:v>
      </x:c>
      <x:c r="O35" s="30" t="n">
        <x:f>IFERROR(I35/H35,0)</x:f>
        <x:v>0.09331690791499846</x:v>
      </x:c>
      <x:c r="P35" s="30" t="n">
        <x:f>IFERROR(J35/I35,0)</x:f>
        <x:v>0.17491749174917492</x:v>
      </x:c>
      <x:c r="Q35" s="30" t="n">
        <x:f>IFERROR(K35/J35,0)</x:f>
        <x:v>0.6981132075471698</x:v>
      </x:c>
      <x:c r="R35" s="30" t="n">
        <x:f>IFERROR(L35/K35,0)</x:f>
        <x:v>0.8378378378378378</x:v>
      </x:c>
      <x:c r="S35" s="28" t="n">
        <x:f>IFERROR(N35/J35,0)</x:f>
        <x:v>460.7854716981132</x:v>
      </x:c>
      <x:c r="T35" s="28" t="n">
        <x:f>IFERROR(N35/K35,0)</x:f>
        <x:v>660.0440540540541</x:v>
      </x:c>
      <x:c r="U35" s="28" t="n">
        <x:f>IFERROR(N35/L35,0)</x:f>
        <x:v>787.7945161290323</x:v>
      </x:c>
    </x:row>
    <x:row r="36">
      <x:c r="A36" t="n">
        <x:v>35</x:v>
      </x:c>
      <x:c r="B36" s="26" t="n">
        <x:v>46031</x:v>
      </x:c>
      <x:c r="C36" t="str">
        <x:v>CPO_Premium</x:v>
      </x:c>
      <x:c r="D36" t="str">
        <x:v>Google Ads</x:v>
      </x:c>
      <x:c r="E36" t="str">
        <x:v>Premium</x:v>
      </x:c>
      <x:c r="F36" t="str">
        <x:v>Luanda</x:v>
      </x:c>
      <x:c r="G36" t="str">
        <x:v>Android</x:v>
      </x:c>
      <x:c r="H36" t="n">
        <x:v>26978</x:v>
      </x:c>
      <x:c r="I36" t="n">
        <x:v>749</x:v>
      </x:c>
      <x:c r="J36" t="n">
        <x:v>125</x:v>
      </x:c>
      <x:c r="K36" t="n">
        <x:v>85</x:v>
      </x:c>
      <x:c r="L36" t="n">
        <x:v>63</x:v>
      </x:c>
      <x:c r="M36" s="28" t="n">
        <x:v>321581880.06</x:v>
      </x:c>
      <x:c r="N36" s="28" t="n">
        <x:v>37789.33</x:v>
      </x:c>
      <x:c r="O36" s="30" t="n">
        <x:f>IFERROR(I36/H36,0)</x:f>
        <x:v>0.02776336274001038</x:v>
      </x:c>
      <x:c r="P36" s="30" t="n">
        <x:f>IFERROR(J36/I36,0)</x:f>
        <x:v>0.16688918558077437</x:v>
      </x:c>
      <x:c r="Q36" s="30" t="n">
        <x:f>IFERROR(K36/J36,0)</x:f>
        <x:v>0.68</x:v>
      </x:c>
      <x:c r="R36" s="30" t="n">
        <x:f>IFERROR(L36/K36,0)</x:f>
        <x:v>0.7411764705882353</x:v>
      </x:c>
      <x:c r="S36" s="28" t="n">
        <x:f>IFERROR(N36/J36,0)</x:f>
        <x:v>302.31464</x:v>
      </x:c>
      <x:c r="T36" s="28" t="n">
        <x:f>IFERROR(N36/K36,0)</x:f>
        <x:v>444.5803529411765</x:v>
      </x:c>
      <x:c r="U36" s="28" t="n">
        <x:f>IFERROR(N36/L36,0)</x:f>
        <x:v>599.8306349206349</x:v>
      </x:c>
    </x:row>
    <x:row r="37">
      <x:c r="A37" t="n">
        <x:v>36</x:v>
      </x:c>
      <x:c r="B37" s="26" t="n">
        <x:v>46031</x:v>
      </x:c>
      <x:c r="C37" t="str">
        <x:v>CPO_Acesso_Rapido</x:v>
      </x:c>
      <x:c r="D37" t="str">
        <x:v>TikTok Ads</x:v>
      </x:c>
      <x:c r="E37" t="str">
        <x:v>Premium</x:v>
      </x:c>
      <x:c r="F37" t="str">
        <x:v>Luanda</x:v>
      </x:c>
      <x:c r="G37" t="str">
        <x:v>Desktop</x:v>
      </x:c>
      <x:c r="H37" t="n">
        <x:v>22652</x:v>
      </x:c>
      <x:c r="I37" t="n">
        <x:v>377</x:v>
      </x:c>
      <x:c r="J37" t="n">
        <x:v>26</x:v>
      </x:c>
      <x:c r="K37" t="n">
        <x:v>18</x:v>
      </x:c>
      <x:c r="L37" t="n">
        <x:v>10</x:v>
      </x:c>
      <x:c r="M37" s="28" t="n">
        <x:v>45982747.68</x:v>
      </x:c>
      <x:c r="N37" s="28" t="n">
        <x:v>62740.22</x:v>
      </x:c>
      <x:c r="O37" s="30" t="n">
        <x:f>IFERROR(I37/H37,0)</x:f>
        <x:v>0.01664312202013067</x:v>
      </x:c>
      <x:c r="P37" s="30" t="n">
        <x:f>IFERROR(J37/I37,0)</x:f>
        <x:v>0.06896551724137931</x:v>
      </x:c>
      <x:c r="Q37" s="30" t="n">
        <x:f>IFERROR(K37/J37,0)</x:f>
        <x:v>0.6923076923076923</x:v>
      </x:c>
      <x:c r="R37" s="30" t="n">
        <x:f>IFERROR(L37/K37,0)</x:f>
        <x:v>0.5555555555555556</x:v>
      </x:c>
      <x:c r="S37" s="28" t="n">
        <x:f>IFERROR(N37/J37,0)</x:f>
        <x:v>2413.0853846153846</x:v>
      </x:c>
      <x:c r="T37" s="28" t="n">
        <x:f>IFERROR(N37/K37,0)</x:f>
        <x:v>3485.567777777778</x:v>
      </x:c>
      <x:c r="U37" s="28" t="n">
        <x:f>IFERROR(N37/L37,0)</x:f>
        <x:v>6274.022</x:v>
      </x:c>
    </x:row>
    <x:row r="38">
      <x:c r="A38" t="n">
        <x:v>37</x:v>
      </x:c>
      <x:c r="B38" s="26" t="n">
        <x:v>46031</x:v>
      </x:c>
      <x:c r="C38" t="str">
        <x:v>CPO_Salario</x:v>
      </x:c>
      <x:c r="D38" t="str">
        <x:v>BAI Directo/App</x:v>
      </x:c>
      <x:c r="E38" t="str">
        <x:v>Assalariado</x:v>
      </x:c>
      <x:c r="F38" t="str">
        <x:v>Benguela</x:v>
      </x:c>
      <x:c r="G38" t="str">
        <x:v>Android</x:v>
      </x:c>
      <x:c r="H38" t="n">
        <x:v>8072</x:v>
      </x:c>
      <x:c r="I38" t="n">
        <x:v>997</x:v>
      </x:c>
      <x:c r="J38" t="n">
        <x:v>255</x:v>
      </x:c>
      <x:c r="K38" t="n">
        <x:v>172</x:v>
      </x:c>
      <x:c r="L38" t="n">
        <x:v>104</x:v>
      </x:c>
      <x:c r="M38" s="28" t="n">
        <x:v>228606113.14</x:v>
      </x:c>
      <x:c r="N38" s="28" t="n">
        <x:v>34096.79</x:v>
      </x:c>
      <x:c r="O38" s="30" t="n">
        <x:f>IFERROR(I38/H38,0)</x:f>
        <x:v>0.12351337958374628</x:v>
      </x:c>
      <x:c r="P38" s="30" t="n">
        <x:f>IFERROR(J38/I38,0)</x:f>
        <x:v>0.25576730190571717</x:v>
      </x:c>
      <x:c r="Q38" s="30" t="n">
        <x:f>IFERROR(K38/J38,0)</x:f>
        <x:v>0.6745098039215687</x:v>
      </x:c>
      <x:c r="R38" s="30" t="n">
        <x:f>IFERROR(L38/K38,0)</x:f>
        <x:v>0.6046511627906976</x:v>
      </x:c>
      <x:c r="S38" s="28" t="n">
        <x:f>IFERROR(N38/J38,0)</x:f>
        <x:v>133.7129019607843</x:v>
      </x:c>
      <x:c r="T38" s="28" t="n">
        <x:f>IFERROR(N38/K38,0)</x:f>
        <x:v>198.2371511627907</x:v>
      </x:c>
      <x:c r="U38" s="28" t="n">
        <x:f>IFERROR(N38/L38,0)</x:f>
        <x:v>327.85375</x:v>
      </x:c>
    </x:row>
    <x:row r="39">
      <x:c r="A39" t="n">
        <x:v>38</x:v>
      </x:c>
      <x:c r="B39" s="26" t="n">
        <x:v>46032</x:v>
      </x:c>
      <x:c r="C39" t="str">
        <x:v>CPO_Always_On</x:v>
      </x:c>
      <x:c r="D39" t="str">
        <x:v>Meta Ads</x:v>
      </x:c>
      <x:c r="E39" t="str">
        <x:v>Premium</x:v>
      </x:c>
      <x:c r="F39" t="str">
        <x:v>Uíge</x:v>
      </x:c>
      <x:c r="G39" t="str">
        <x:v>iOS</x:v>
      </x:c>
      <x:c r="H39" t="n">
        <x:v>13486</x:v>
      </x:c>
      <x:c r="I39" t="n">
        <x:v>296</x:v>
      </x:c>
      <x:c r="J39" t="n">
        <x:v>33</x:v>
      </x:c>
      <x:c r="K39" t="n">
        <x:v>23</x:v>
      </x:c>
      <x:c r="L39" t="n">
        <x:v>17</x:v>
      </x:c>
      <x:c r="M39" s="28" t="n">
        <x:v>90681990.51</x:v>
      </x:c>
      <x:c r="N39" s="28" t="n">
        <x:v>47394.15</x:v>
      </x:c>
      <x:c r="O39" s="30" t="n">
        <x:f>IFERROR(I39/H39,0)</x:f>
        <x:v>0.021948687527806616</x:v>
      </x:c>
      <x:c r="P39" s="30" t="n">
        <x:f>IFERROR(J39/I39,0)</x:f>
        <x:v>0.11148648648648649</x:v>
      </x:c>
      <x:c r="Q39" s="30" t="n">
        <x:f>IFERROR(K39/J39,0)</x:f>
        <x:v>0.696969696969697</x:v>
      </x:c>
      <x:c r="R39" s="30" t="n">
        <x:f>IFERROR(L39/K39,0)</x:f>
        <x:v>0.7391304347826086</x:v>
      </x:c>
      <x:c r="S39" s="28" t="n">
        <x:f>IFERROR(N39/J39,0)</x:f>
        <x:v>1436.1863636363637</x:v>
      </x:c>
      <x:c r="T39" s="28" t="n">
        <x:f>IFERROR(N39/K39,0)</x:f>
        <x:v>2060.615217391304</x:v>
      </x:c>
      <x:c r="U39" s="28" t="n">
        <x:f>IFERROR(N39/L39,0)</x:f>
        <x:v>2787.891176470588</x:v>
      </x:c>
    </x:row>
    <x:row r="40">
      <x:c r="A40" t="n">
        <x:v>39</x:v>
      </x:c>
      <x:c r="B40" s="26" t="n">
        <x:v>46032</x:v>
      </x:c>
      <x:c r="C40" t="str">
        <x:v>CPO_Fim_do_Mes</x:v>
      </x:c>
      <x:c r="D40" t="str">
        <x:v>SMS</x:v>
      </x:c>
      <x:c r="E40" t="str">
        <x:v>Assalariado</x:v>
      </x:c>
      <x:c r="F40" t="str">
        <x:v>Luanda</x:v>
      </x:c>
      <x:c r="G40" t="str">
        <x:v>Desktop</x:v>
      </x:c>
      <x:c r="H40" t="n">
        <x:v>9682</x:v>
      </x:c>
      <x:c r="I40" t="n">
        <x:v>1040</x:v>
      </x:c>
      <x:c r="J40" t="n">
        <x:v>138</x:v>
      </x:c>
      <x:c r="K40" t="n">
        <x:v>94</x:v>
      </x:c>
      <x:c r="L40" t="n">
        <x:v>68</x:v>
      </x:c>
      <x:c r="M40" s="28" t="n">
        <x:v>139153678.2</x:v>
      </x:c>
      <x:c r="N40" s="28" t="n">
        <x:v>108265.25</x:v>
      </x:c>
      <x:c r="O40" s="30" t="n">
        <x:f>IFERROR(I40/H40,0)</x:f>
        <x:v>0.10741582317702954</x:v>
      </x:c>
      <x:c r="P40" s="30" t="n">
        <x:f>IFERROR(J40/I40,0)</x:f>
        <x:v>0.1326923076923077</x:v>
      </x:c>
      <x:c r="Q40" s="30" t="n">
        <x:f>IFERROR(K40/J40,0)</x:f>
        <x:v>0.6811594202898551</x:v>
      </x:c>
      <x:c r="R40" s="30" t="n">
        <x:f>IFERROR(L40/K40,0)</x:f>
        <x:v>0.723404255319149</x:v>
      </x:c>
      <x:c r="S40" s="28" t="n">
        <x:f>IFERROR(N40/J40,0)</x:f>
        <x:v>784.5307971014493</x:v>
      </x:c>
      <x:c r="T40" s="28" t="n">
        <x:f>IFERROR(N40/K40,0)</x:f>
        <x:v>1151.7579787234042</x:v>
      </x:c>
      <x:c r="U40" s="28" t="n">
        <x:f>IFERROR(N40/L40,0)</x:f>
        <x:v>1592.1360294117646</x:v>
      </x:c>
    </x:row>
    <x:row r="41">
      <x:c r="A41" t="n">
        <x:v>40</x:v>
      </x:c>
      <x:c r="B41" s="26" t="n">
        <x:v>46032</x:v>
      </x:c>
      <x:c r="C41" t="str">
        <x:v>CPO_Digital_360</x:v>
      </x:c>
      <x:c r="D41" t="str">
        <x:v>TikTok Ads</x:v>
      </x:c>
      <x:c r="E41" t="str">
        <x:v>Assalariado</x:v>
      </x:c>
      <x:c r="F41" t="str">
        <x:v>Luanda</x:v>
      </x:c>
      <x:c r="G41" t="str">
        <x:v>iOS</x:v>
      </x:c>
      <x:c r="H41" t="n">
        <x:v>17111</x:v>
      </x:c>
      <x:c r="I41" t="n">
        <x:v>209</x:v>
      </x:c>
      <x:c r="J41" t="n">
        <x:v>15</x:v>
      </x:c>
      <x:c r="K41" t="n">
        <x:v>10</x:v>
      </x:c>
      <x:c r="L41" t="n">
        <x:v>6</x:v>
      </x:c>
      <x:c r="M41" s="28" t="n">
        <x:v>17085992.49</x:v>
      </x:c>
      <x:c r="N41" s="28" t="n">
        <x:v>38131.24</x:v>
      </x:c>
      <x:c r="O41" s="30" t="n">
        <x:f>IFERROR(I41/H41,0)</x:f>
        <x:v>0.01221436502834434</x:v>
      </x:c>
      <x:c r="P41" s="30" t="n">
        <x:f>IFERROR(J41/I41,0)</x:f>
        <x:v>0.07177033492822966</x:v>
      </x:c>
      <x:c r="Q41" s="30" t="n">
        <x:f>IFERROR(K41/J41,0)</x:f>
        <x:v>0.6666666666666666</x:v>
      </x:c>
      <x:c r="R41" s="30" t="n">
        <x:f>IFERROR(L41/K41,0)</x:f>
        <x:v>0.6</x:v>
      </x:c>
      <x:c r="S41" s="28" t="n">
        <x:f>IFERROR(N41/J41,0)</x:f>
        <x:v>2542.0826666666667</x:v>
      </x:c>
      <x:c r="T41" s="28" t="n">
        <x:f>IFERROR(N41/K41,0)</x:f>
        <x:v>3813.124</x:v>
      </x:c>
      <x:c r="U41" s="28" t="n">
        <x:f>IFERROR(N41/L41,0)</x:f>
        <x:v>6355.206666666666</x:v>
      </x:c>
    </x:row>
    <x:row r="42">
      <x:c r="A42" t="n">
        <x:v>41</x:v>
      </x:c>
      <x:c r="B42" s="26" t="n">
        <x:v>46033</x:v>
      </x:c>
      <x:c r="C42" t="str">
        <x:v>CPO_Always_On</x:v>
      </x:c>
      <x:c r="D42" t="str">
        <x:v>BAI Directo/App</x:v>
      </x:c>
      <x:c r="E42" t="str">
        <x:v>Funcionário Público</x:v>
      </x:c>
      <x:c r="F42" t="str">
        <x:v>Luanda</x:v>
      </x:c>
      <x:c r="G42" t="str">
        <x:v>iOS</x:v>
      </x:c>
      <x:c r="H42" t="n">
        <x:v>3521</x:v>
      </x:c>
      <x:c r="I42" t="n">
        <x:v>433</x:v>
      </x:c>
      <x:c r="J42" t="n">
        <x:v>88</x:v>
      </x:c>
      <x:c r="K42" t="n">
        <x:v>53</x:v>
      </x:c>
      <x:c r="L42" t="n">
        <x:v>32</x:v>
      </x:c>
      <x:c r="M42" s="28" t="n">
        <x:v>56765869.03</x:v>
      </x:c>
      <x:c r="N42" s="28" t="n">
        <x:v>34071.55</x:v>
      </x:c>
      <x:c r="O42" s="30" t="n">
        <x:f>IFERROR(I42/H42,0)</x:f>
        <x:v>0.12297642715137745</x:v>
      </x:c>
      <x:c r="P42" s="30" t="n">
        <x:f>IFERROR(J42/I42,0)</x:f>
        <x:v>0.20323325635103925</x:v>
      </x:c>
      <x:c r="Q42" s="30" t="n">
        <x:f>IFERROR(K42/J42,0)</x:f>
        <x:v>0.6022727272727273</x:v>
      </x:c>
      <x:c r="R42" s="30" t="n">
        <x:f>IFERROR(L42/K42,0)</x:f>
        <x:v>0.6037735849056604</x:v>
      </x:c>
      <x:c r="S42" s="28" t="n">
        <x:f>IFERROR(N42/J42,0)</x:f>
        <x:v>387.1767045454546</x:v>
      </x:c>
      <x:c r="T42" s="28" t="n">
        <x:f>IFERROR(N42/K42,0)</x:f>
        <x:v>642.8594339622642</x:v>
      </x:c>
      <x:c r="U42" s="28" t="n">
        <x:f>IFERROR(N42/L42,0)</x:f>
        <x:v>1064.7359375</x:v>
      </x:c>
    </x:row>
    <x:row r="43">
      <x:c r="A43" t="n">
        <x:v>42</x:v>
      </x:c>
      <x:c r="B43" s="26" t="n">
        <x:v>46033</x:v>
      </x:c>
      <x:c r="C43" t="str">
        <x:v>CPO_Fim_do_Mes</x:v>
      </x:c>
      <x:c r="D43" t="str">
        <x:v>Meta Ads</x:v>
      </x:c>
      <x:c r="E43" t="str">
        <x:v>Premium</x:v>
      </x:c>
      <x:c r="F43" t="str">
        <x:v>Huíla</x:v>
      </x:c>
      <x:c r="G43" t="str">
        <x:v>iOS</x:v>
      </x:c>
      <x:c r="H43" t="n">
        <x:v>20265</x:v>
      </x:c>
      <x:c r="I43" t="n">
        <x:v>367</x:v>
      </x:c>
      <x:c r="J43" t="n">
        <x:v>46</x:v>
      </x:c>
      <x:c r="K43" t="n">
        <x:v>36</x:v>
      </x:c>
      <x:c r="L43" t="n">
        <x:v>32</x:v>
      </x:c>
      <x:c r="M43" s="28" t="n">
        <x:v>169379890.4</x:v>
      </x:c>
      <x:c r="N43" s="28" t="n">
        <x:v>43274.9</x:v>
      </x:c>
      <x:c r="O43" s="30" t="n">
        <x:f>IFERROR(I43/H43,0)</x:f>
        <x:v>0.018110041944238837</x:v>
      </x:c>
      <x:c r="P43" s="30" t="n">
        <x:f>IFERROR(J43/I43,0)</x:f>
        <x:v>0.12534059945504086</x:v>
      </x:c>
      <x:c r="Q43" s="30" t="n">
        <x:f>IFERROR(K43/J43,0)</x:f>
        <x:v>0.782608695652174</x:v>
      </x:c>
      <x:c r="R43" s="30" t="n">
        <x:f>IFERROR(L43/K43,0)</x:f>
        <x:v>0.8888888888888888</x:v>
      </x:c>
      <x:c r="S43" s="28" t="n">
        <x:f>IFERROR(N43/J43,0)</x:f>
        <x:v>940.758695652174</x:v>
      </x:c>
      <x:c r="T43" s="28" t="n">
        <x:f>IFERROR(N43/K43,0)</x:f>
        <x:v>1202.0805555555555</x:v>
      </x:c>
      <x:c r="U43" s="28" t="n">
        <x:f>IFERROR(N43/L43,0)</x:f>
        <x:v>1352.340625</x:v>
      </x:c>
    </x:row>
    <x:row r="44">
      <x:c r="A44" t="n">
        <x:v>43</x:v>
      </x:c>
      <x:c r="B44" s="26" t="n">
        <x:v>46033</x:v>
      </x:c>
      <x:c r="C44" t="str">
        <x:v>CPO_Salario</x:v>
      </x:c>
      <x:c r="D44" t="str">
        <x:v>Meta Ads</x:v>
      </x:c>
      <x:c r="E44" t="str">
        <x:v>Assalariado</x:v>
      </x:c>
      <x:c r="F44" t="str">
        <x:v>Benguela</x:v>
      </x:c>
      <x:c r="G44" t="str">
        <x:v>Android</x:v>
      </x:c>
      <x:c r="H44" t="n">
        <x:v>13072</x:v>
      </x:c>
      <x:c r="I44" t="n">
        <x:v>284</x:v>
      </x:c>
      <x:c r="J44" t="n">
        <x:v>30</x:v>
      </x:c>
      <x:c r="K44" t="n">
        <x:v>23</x:v>
      </x:c>
      <x:c r="L44" t="n">
        <x:v>15</x:v>
      </x:c>
      <x:c r="M44" s="28" t="n">
        <x:v>30953053</x:v>
      </x:c>
      <x:c r="N44" s="28" t="n">
        <x:v>14476.38</x:v>
      </x:c>
      <x:c r="O44" s="30" t="n">
        <x:f>IFERROR(I44/H44,0)</x:f>
        <x:v>0.021725826193390453</x:v>
      </x:c>
      <x:c r="P44" s="30" t="n">
        <x:f>IFERROR(J44/I44,0)</x:f>
        <x:v>0.1056338028169014</x:v>
      </x:c>
      <x:c r="Q44" s="30" t="n">
        <x:f>IFERROR(K44/J44,0)</x:f>
        <x:v>0.7666666666666667</x:v>
      </x:c>
      <x:c r="R44" s="30" t="n">
        <x:f>IFERROR(L44/K44,0)</x:f>
        <x:v>0.6521739130434783</x:v>
      </x:c>
      <x:c r="S44" s="28" t="n">
        <x:f>IFERROR(N44/J44,0)</x:f>
        <x:v>482.546</x:v>
      </x:c>
      <x:c r="T44" s="28" t="n">
        <x:f>IFERROR(N44/K44,0)</x:f>
        <x:v>629.4078260869564</x:v>
      </x:c>
      <x:c r="U44" s="28" t="n">
        <x:f>IFERROR(N44/L44,0)</x:f>
        <x:v>965.092</x:v>
      </x:c>
    </x:row>
    <x:row r="45">
      <x:c r="A45" t="n">
        <x:v>44</x:v>
      </x:c>
      <x:c r="B45" s="26" t="n">
        <x:v>46034</x:v>
      </x:c>
      <x:c r="C45" t="str">
        <x:v>CPO_Digital_360</x:v>
      </x:c>
      <x:c r="D45" t="str">
        <x:v>Meta Ads</x:v>
      </x:c>
      <x:c r="E45" t="str">
        <x:v>Assalariado</x:v>
      </x:c>
      <x:c r="F45" t="str">
        <x:v>Malanje</x:v>
      </x:c>
      <x:c r="G45" t="str">
        <x:v>iOS</x:v>
      </x:c>
      <x:c r="H45" t="n">
        <x:v>23836</x:v>
      </x:c>
      <x:c r="I45" t="n">
        <x:v>646</x:v>
      </x:c>
      <x:c r="J45" t="n">
        <x:v>75</x:v>
      </x:c>
      <x:c r="K45" t="n">
        <x:v>58</x:v>
      </x:c>
      <x:c r="L45" t="n">
        <x:v>38</x:v>
      </x:c>
      <x:c r="M45" s="28" t="n">
        <x:v>86250986.51</x:v>
      </x:c>
      <x:c r="N45" s="28" t="n">
        <x:v>72796.57</x:v>
      </x:c>
      <x:c r="O45" s="30" t="n">
        <x:f>IFERROR(I45/H45,0)</x:f>
        <x:v>0.027101862728645745</x:v>
      </x:c>
      <x:c r="P45" s="30" t="n">
        <x:f>IFERROR(J45/I45,0)</x:f>
        <x:v>0.11609907120743033</x:v>
      </x:c>
      <x:c r="Q45" s="30" t="n">
        <x:f>IFERROR(K45/J45,0)</x:f>
        <x:v>0.7733333333333333</x:v>
      </x:c>
      <x:c r="R45" s="30" t="n">
        <x:f>IFERROR(L45/K45,0)</x:f>
        <x:v>0.6551724137931034</x:v>
      </x:c>
      <x:c r="S45" s="28" t="n">
        <x:f>IFERROR(N45/J45,0)</x:f>
        <x:v>970.6209333333335</x:v>
      </x:c>
      <x:c r="T45" s="28" t="n">
        <x:f>IFERROR(N45/K45,0)</x:f>
        <x:v>1255.113275862069</x:v>
      </x:c>
      <x:c r="U45" s="28" t="n">
        <x:f>IFERROR(N45/L45,0)</x:f>
        <x:v>1915.699210526316</x:v>
      </x:c>
    </x:row>
    <x:row r="46">
      <x:c r="A46" t="n">
        <x:v>45</x:v>
      </x:c>
      <x:c r="B46" s="26" t="n">
        <x:v>46034</x:v>
      </x:c>
      <x:c r="C46" t="str">
        <x:v>CPO_Fim_do_Mes</x:v>
      </x:c>
      <x:c r="D46" t="str">
        <x:v>TikTok Ads</x:v>
      </x:c>
      <x:c r="E46" t="str">
        <x:v>Funcionário Público</x:v>
      </x:c>
      <x:c r="F46" t="str">
        <x:v>Luanda</x:v>
      </x:c>
      <x:c r="G46" t="str">
        <x:v>Desktop</x:v>
      </x:c>
      <x:c r="H46" t="n">
        <x:v>17482</x:v>
      </x:c>
      <x:c r="I46" t="n">
        <x:v>424</x:v>
      </x:c>
      <x:c r="J46" t="n">
        <x:v>38</x:v>
      </x:c>
      <x:c r="K46" t="n">
        <x:v>26</x:v>
      </x:c>
      <x:c r="L46" t="n">
        <x:v>18</x:v>
      </x:c>
      <x:c r="M46" s="28" t="n">
        <x:v>25739785.36</x:v>
      </x:c>
      <x:c r="N46" s="28" t="n">
        <x:v>36277.23</x:v>
      </x:c>
      <x:c r="O46" s="30" t="n">
        <x:f>IFERROR(I46/H46,0)</x:f>
        <x:v>0.02425351790412996</x:v>
      </x:c>
      <x:c r="P46" s="30" t="n">
        <x:f>IFERROR(J46/I46,0)</x:f>
        <x:v>0.08962264150943396</x:v>
      </x:c>
      <x:c r="Q46" s="30" t="n">
        <x:f>IFERROR(K46/J46,0)</x:f>
        <x:v>0.6842105263157895</x:v>
      </x:c>
      <x:c r="R46" s="30" t="n">
        <x:f>IFERROR(L46/K46,0)</x:f>
        <x:v>0.6923076923076923</x:v>
      </x:c>
      <x:c r="S46" s="28" t="n">
        <x:f>IFERROR(N46/J46,0)</x:f>
        <x:v>954.6639473684212</x:v>
      </x:c>
      <x:c r="T46" s="28" t="n">
        <x:f>IFERROR(N46/K46,0)</x:f>
        <x:v>1395.2780769230772</x:v>
      </x:c>
      <x:c r="U46" s="28" t="n">
        <x:f>IFERROR(N46/L46,0)</x:f>
        <x:v>2015.4016666666669</x:v>
      </x:c>
    </x:row>
    <x:row r="47">
      <x:c r="A47" t="n">
        <x:v>46</x:v>
      </x:c>
      <x:c r="B47" s="26" t="n">
        <x:v>46034</x:v>
      </x:c>
      <x:c r="C47" t="str">
        <x:v>CPO_Premium</x:v>
      </x:c>
      <x:c r="D47" t="str">
        <x:v>E-mail</x:v>
      </x:c>
      <x:c r="E47" t="str">
        <x:v>Pequeno Negócio</x:v>
      </x:c>
      <x:c r="F47" t="str">
        <x:v>Luanda</x:v>
      </x:c>
      <x:c r="G47" t="str">
        <x:v>Desktop</x:v>
      </x:c>
      <x:c r="H47" t="n">
        <x:v>7014</x:v>
      </x:c>
      <x:c r="I47" t="n">
        <x:v>382</x:v>
      </x:c>
      <x:c r="J47" t="n">
        <x:v>40</x:v>
      </x:c>
      <x:c r="K47" t="n">
        <x:v>15</x:v>
      </x:c>
      <x:c r="L47" t="n">
        <x:v>9</x:v>
      </x:c>
      <x:c r="M47" s="28" t="n">
        <x:v>27898521.3</x:v>
      </x:c>
      <x:c r="N47" s="28" t="n">
        <x:v>84826.67</x:v>
      </x:c>
      <x:c r="O47" s="30" t="n">
        <x:f>IFERROR(I47/H47,0)</x:f>
        <x:v>0.05446250356429997</x:v>
      </x:c>
      <x:c r="P47" s="30" t="n">
        <x:f>IFERROR(J47/I47,0)</x:f>
        <x:v>0.10471204188481675</x:v>
      </x:c>
      <x:c r="Q47" s="30" t="n">
        <x:f>IFERROR(K47/J47,0)</x:f>
        <x:v>0.375</x:v>
      </x:c>
      <x:c r="R47" s="30" t="n">
        <x:f>IFERROR(L47/K47,0)</x:f>
        <x:v>0.6</x:v>
      </x:c>
      <x:c r="S47" s="28" t="n">
        <x:f>IFERROR(N47/J47,0)</x:f>
        <x:v>2120.66675</x:v>
      </x:c>
      <x:c r="T47" s="28" t="n">
        <x:f>IFERROR(N47/K47,0)</x:f>
        <x:v>5655.111333333333</x:v>
      </x:c>
      <x:c r="U47" s="28" t="n">
        <x:f>IFERROR(N47/L47,0)</x:f>
        <x:v>9425.185555555556</x:v>
      </x:c>
    </x:row>
    <x:row r="48">
      <x:c r="A48" t="n">
        <x:v>47</x:v>
      </x:c>
      <x:c r="B48" s="26" t="n">
        <x:v>46035</x:v>
      </x:c>
      <x:c r="C48" t="str">
        <x:v>CPO_Premium</x:v>
      </x:c>
      <x:c r="D48" t="str">
        <x:v>Google Ads</x:v>
      </x:c>
      <x:c r="E48" t="str">
        <x:v>Premium</x:v>
      </x:c>
      <x:c r="F48" t="str">
        <x:v>Uíge</x:v>
      </x:c>
      <x:c r="G48" t="str">
        <x:v>Android</x:v>
      </x:c>
      <x:c r="H48" t="n">
        <x:v>22701</x:v>
      </x:c>
      <x:c r="I48" t="n">
        <x:v>695</x:v>
      </x:c>
      <x:c r="J48" t="n">
        <x:v>94</x:v>
      </x:c>
      <x:c r="K48" t="n">
        <x:v>62</x:v>
      </x:c>
      <x:c r="L48" t="n">
        <x:v>56</x:v>
      </x:c>
      <x:c r="M48" s="28" t="n">
        <x:v>281584676.04</x:v>
      </x:c>
      <x:c r="N48" s="28" t="n">
        <x:v>53935.98</x:v>
      </x:c>
      <x:c r="O48" s="30" t="n">
        <x:f>IFERROR(I48/H48,0)</x:f>
        <x:v>0.030615391392449672</x:v>
      </x:c>
      <x:c r="P48" s="30" t="n">
        <x:f>IFERROR(J48/I48,0)</x:f>
        <x:v>0.13525179856115108</x:v>
      </x:c>
      <x:c r="Q48" s="30" t="n">
        <x:f>IFERROR(K48/J48,0)</x:f>
        <x:v>0.6595744680851063</x:v>
      </x:c>
      <x:c r="R48" s="30" t="n">
        <x:f>IFERROR(L48/K48,0)</x:f>
        <x:v>0.9032258064516129</x:v>
      </x:c>
      <x:c r="S48" s="28" t="n">
        <x:f>IFERROR(N48/J48,0)</x:f>
        <x:v>573.7870212765957</x:v>
      </x:c>
      <x:c r="T48" s="28" t="n">
        <x:f>IFERROR(N48/K48,0)</x:f>
        <x:v>869.9351612903226</x:v>
      </x:c>
      <x:c r="U48" s="28" t="n">
        <x:f>IFERROR(N48/L48,0)</x:f>
        <x:v>963.1425</x:v>
      </x:c>
    </x:row>
    <x:row r="49">
      <x:c r="A49" t="n">
        <x:v>48</x:v>
      </x:c>
      <x:c r="B49" s="26" t="n">
        <x:v>46035</x:v>
      </x:c>
      <x:c r="C49" t="str">
        <x:v>CPO_Premium</x:v>
      </x:c>
      <x:c r="D49" t="str">
        <x:v>TikTok Ads</x:v>
      </x:c>
      <x:c r="E49" t="str">
        <x:v>Premium</x:v>
      </x:c>
      <x:c r="F49" t="str">
        <x:v>Huambo</x:v>
      </x:c>
      <x:c r="G49" t="str">
        <x:v>iOS</x:v>
      </x:c>
      <x:c r="H49" t="n">
        <x:v>12888</x:v>
      </x:c>
      <x:c r="I49" t="n">
        <x:v>139</x:v>
      </x:c>
      <x:c r="J49" t="n">
        <x:v>11</x:v>
      </x:c>
      <x:c r="K49" t="n">
        <x:v>9</x:v>
      </x:c>
      <x:c r="L49" t="n">
        <x:v>6</x:v>
      </x:c>
      <x:c r="M49" s="28" t="n">
        <x:v>28177714.9</x:v>
      </x:c>
      <x:c r="N49" s="28" t="n">
        <x:v>21836.11</x:v>
      </x:c>
      <x:c r="O49" s="30" t="n">
        <x:f>IFERROR(I49/H49,0)</x:f>
        <x:v>0.010785226567349473</x:v>
      </x:c>
      <x:c r="P49" s="30" t="n">
        <x:f>IFERROR(J49/I49,0)</x:f>
        <x:v>0.07913669064748201</x:v>
      </x:c>
      <x:c r="Q49" s="30" t="n">
        <x:f>IFERROR(K49/J49,0)</x:f>
        <x:v>0.8181818181818182</x:v>
      </x:c>
      <x:c r="R49" s="30" t="n">
        <x:f>IFERROR(L49/K49,0)</x:f>
        <x:v>0.6666666666666666</x:v>
      </x:c>
      <x:c r="S49" s="28" t="n">
        <x:f>IFERROR(N49/J49,0)</x:f>
        <x:v>1985.1009090909092</x:v>
      </x:c>
      <x:c r="T49" s="28" t="n">
        <x:f>IFERROR(N49/K49,0)</x:f>
        <x:v>2426.2344444444443</x:v>
      </x:c>
      <x:c r="U49" s="28" t="n">
        <x:f>IFERROR(N49/L49,0)</x:f>
        <x:v>3639.351666666667</x:v>
      </x:c>
    </x:row>
    <x:row r="50">
      <x:c r="A50" t="n">
        <x:v>49</x:v>
      </x:c>
      <x:c r="B50" s="26" t="n">
        <x:v>46035</x:v>
      </x:c>
      <x:c r="C50" t="str">
        <x:v>CPO_Acesso_Rapido</x:v>
      </x:c>
      <x:c r="D50" t="str">
        <x:v>Google Ads</x:v>
      </x:c>
      <x:c r="E50" t="str">
        <x:v>Premium</x:v>
      </x:c>
      <x:c r="F50" t="str">
        <x:v>Luanda</x:v>
      </x:c>
      <x:c r="G50" t="str">
        <x:v>Desktop</x:v>
      </x:c>
      <x:c r="H50" t="n">
        <x:v>13849</x:v>
      </x:c>
      <x:c r="I50" t="n">
        <x:v>552</x:v>
      </x:c>
      <x:c r="J50" t="n">
        <x:v>78</x:v>
      </x:c>
      <x:c r="K50" t="n">
        <x:v>57</x:v>
      </x:c>
      <x:c r="L50" t="n">
        <x:v>40</x:v>
      </x:c>
      <x:c r="M50" s="28" t="n">
        <x:v>215958927.13</x:v>
      </x:c>
      <x:c r="N50" s="28" t="n">
        <x:v>39752.38</x:v>
      </x:c>
      <x:c r="O50" s="30" t="n">
        <x:f>IFERROR(I50/H50,0)</x:f>
        <x:v>0.03985847353599538</x:v>
      </x:c>
      <x:c r="P50" s="30" t="n">
        <x:f>IFERROR(J50/I50,0)</x:f>
        <x:v>0.14130434782608695</x:v>
      </x:c>
      <x:c r="Q50" s="30" t="n">
        <x:f>IFERROR(K50/J50,0)</x:f>
        <x:v>0.7307692307692307</x:v>
      </x:c>
      <x:c r="R50" s="30" t="n">
        <x:f>IFERROR(L50/K50,0)</x:f>
        <x:v>0.7017543859649122</x:v>
      </x:c>
      <x:c r="S50" s="28" t="n">
        <x:f>IFERROR(N50/J50,0)</x:f>
        <x:v>509.6458974358974</x:v>
      </x:c>
      <x:c r="T50" s="28" t="n">
        <x:f>IFERROR(N50/K50,0)</x:f>
        <x:v>697.4101754385964</x:v>
      </x:c>
      <x:c r="U50" s="28" t="n">
        <x:f>IFERROR(N50/L50,0)</x:f>
        <x:v>993.8095</x:v>
      </x:c>
    </x:row>
    <x:row r="51">
      <x:c r="A51" t="n">
        <x:v>50</x:v>
      </x:c>
      <x:c r="B51" s="26" t="n">
        <x:v>46035</x:v>
      </x:c>
      <x:c r="C51" t="str">
        <x:v>CPO_Fim_do_Mes</x:v>
      </x:c>
      <x:c r="D51" t="str">
        <x:v>BAI Directo/App</x:v>
      </x:c>
      <x:c r="E51" t="str">
        <x:v>Premium</x:v>
      </x:c>
      <x:c r="F51" t="str">
        <x:v>Uíge</x:v>
      </x:c>
      <x:c r="G51" t="str">
        <x:v>Android</x:v>
      </x:c>
      <x:c r="H51" t="n">
        <x:v>10775</x:v>
      </x:c>
      <x:c r="I51" t="n">
        <x:v>1767</x:v>
      </x:c>
      <x:c r="J51" t="n">
        <x:v>490</x:v>
      </x:c>
      <x:c r="K51" t="n">
        <x:v>335</x:v>
      </x:c>
      <x:c r="L51" t="n">
        <x:v>318</x:v>
      </x:c>
      <x:c r="M51" s="28" t="n">
        <x:v>1646853518.08</x:v>
      </x:c>
      <x:c r="N51" s="28" t="n">
        <x:v>47737.86</x:v>
      </x:c>
      <x:c r="O51" s="30" t="n">
        <x:f>IFERROR(I51/H51,0)</x:f>
        <x:v>0.1639907192575406</x:v>
      </x:c>
      <x:c r="P51" s="30" t="n">
        <x:f>IFERROR(J51/I51,0)</x:f>
        <x:v>0.277306168647425</x:v>
      </x:c>
      <x:c r="Q51" s="30" t="n">
        <x:f>IFERROR(K51/J51,0)</x:f>
        <x:v>0.6836734693877551</x:v>
      </x:c>
      <x:c r="R51" s="30" t="n">
        <x:f>IFERROR(L51/K51,0)</x:f>
        <x:v>0.9492537313432836</x:v>
      </x:c>
      <x:c r="S51" s="28" t="n">
        <x:f>IFERROR(N51/J51,0)</x:f>
        <x:v>97.42420408163265</x:v>
      </x:c>
      <x:c r="T51" s="28" t="n">
        <x:f>IFERROR(N51/K51,0)</x:f>
        <x:v>142.5010746268657</x:v>
      </x:c>
      <x:c r="U51" s="28" t="n">
        <x:f>IFERROR(N51/L51,0)</x:f>
        <x:v>150.1190566037736</x:v>
      </x:c>
    </x:row>
    <x:row r="52">
      <x:c r="A52" t="n">
        <x:v>51</x:v>
      </x:c>
      <x:c r="B52" s="26" t="n">
        <x:v>46035</x:v>
      </x:c>
      <x:c r="C52" t="str">
        <x:v>CPO_Always_On</x:v>
      </x:c>
      <x:c r="D52" t="str">
        <x:v>E-mail</x:v>
      </x:c>
      <x:c r="E52" t="str">
        <x:v>Assalariado</x:v>
      </x:c>
      <x:c r="F52" t="str">
        <x:v>Luanda</x:v>
      </x:c>
      <x:c r="G52" t="str">
        <x:v>Desktop</x:v>
      </x:c>
      <x:c r="H52" t="n">
        <x:v>10186</x:v>
      </x:c>
      <x:c r="I52" t="n">
        <x:v>523</x:v>
      </x:c>
      <x:c r="J52" t="n">
        <x:v>53</x:v>
      </x:c>
      <x:c r="K52" t="n">
        <x:v>44</x:v>
      </x:c>
      <x:c r="L52" t="n">
        <x:v>34</x:v>
      </x:c>
      <x:c r="M52" s="28" t="n">
        <x:v>81661954.04</x:v>
      </x:c>
      <x:c r="N52" s="28" t="n">
        <x:v>105517.3</x:v>
      </x:c>
      <x:c r="O52" s="30" t="n">
        <x:f>IFERROR(I52/H52,0)</x:f>
        <x:v>0.05134498331042608</x:v>
      </x:c>
      <x:c r="P52" s="30" t="n">
        <x:f>IFERROR(J52/I52,0)</x:f>
        <x:v>0.10133843212237094</x:v>
      </x:c>
      <x:c r="Q52" s="30" t="n">
        <x:f>IFERROR(K52/J52,0)</x:f>
        <x:v>0.8301886792452831</x:v>
      </x:c>
      <x:c r="R52" s="30" t="n">
        <x:f>IFERROR(L52/K52,0)</x:f>
        <x:v>0.7727272727272727</x:v>
      </x:c>
      <x:c r="S52" s="28" t="n">
        <x:f>IFERROR(N52/J52,0)</x:f>
        <x:v>1990.8924528301886</x:v>
      </x:c>
      <x:c r="T52" s="28" t="n">
        <x:f>IFERROR(N52/K52,0)</x:f>
        <x:v>2398.120454545455</x:v>
      </x:c>
      <x:c r="U52" s="28" t="n">
        <x:f>IFERROR(N52/L52,0)</x:f>
        <x:v>3103.4500000000003</x:v>
      </x:c>
    </x:row>
    <x:row r="53">
      <x:c r="A53" t="n">
        <x:v>52</x:v>
      </x:c>
      <x:c r="B53" s="26" t="n">
        <x:v>46036</x:v>
      </x:c>
      <x:c r="C53" t="str">
        <x:v>CPO_Always_On</x:v>
      </x:c>
      <x:c r="D53" t="str">
        <x:v>E-mail</x:v>
      </x:c>
      <x:c r="E53" t="str">
        <x:v>Funcionário Público</x:v>
      </x:c>
      <x:c r="F53" t="str">
        <x:v>Luanda</x:v>
      </x:c>
      <x:c r="G53" t="str">
        <x:v>iOS</x:v>
      </x:c>
      <x:c r="H53" t="n">
        <x:v>7127</x:v>
      </x:c>
      <x:c r="I53" t="n">
        <x:v>495</x:v>
      </x:c>
      <x:c r="J53" t="n">
        <x:v>56</x:v>
      </x:c>
      <x:c r="K53" t="n">
        <x:v>41</x:v>
      </x:c>
      <x:c r="L53" t="n">
        <x:v>23</x:v>
      </x:c>
      <x:c r="M53" s="28" t="n">
        <x:v>42862444.35</x:v>
      </x:c>
      <x:c r="N53" s="28" t="n">
        <x:v>30435.8</x:v>
      </x:c>
      <x:c r="O53" s="30" t="n">
        <x:f>IFERROR(I53/H53,0)</x:f>
        <x:v>0.06945418829802161</x:v>
      </x:c>
      <x:c r="P53" s="30" t="n">
        <x:f>IFERROR(J53/I53,0)</x:f>
        <x:v>0.11313131313131314</x:v>
      </x:c>
      <x:c r="Q53" s="30" t="n">
        <x:f>IFERROR(K53/J53,0)</x:f>
        <x:v>0.7321428571428571</x:v>
      </x:c>
      <x:c r="R53" s="30" t="n">
        <x:f>IFERROR(L53/K53,0)</x:f>
        <x:v>0.5609756097560976</x:v>
      </x:c>
      <x:c r="S53" s="28" t="n">
        <x:f>IFERROR(N53/J53,0)</x:f>
        <x:v>543.4964285714285</x:v>
      </x:c>
      <x:c r="T53" s="28" t="n">
        <x:f>IFERROR(N53/K53,0)</x:f>
        <x:v>742.3365853658537</x:v>
      </x:c>
      <x:c r="U53" s="28" t="n">
        <x:f>IFERROR(N53/L53,0)</x:f>
        <x:v>1323.295652173913</x:v>
      </x:c>
    </x:row>
    <x:row r="54">
      <x:c r="A54" t="n">
        <x:v>53</x:v>
      </x:c>
      <x:c r="B54" s="26" t="n">
        <x:v>46036</x:v>
      </x:c>
      <x:c r="C54" t="str">
        <x:v>CPO_Premium</x:v>
      </x:c>
      <x:c r="D54" t="str">
        <x:v>E-mail</x:v>
      </x:c>
      <x:c r="E54" t="str">
        <x:v>Jovem Profissional</x:v>
      </x:c>
      <x:c r="F54" t="str">
        <x:v>Huíla</x:v>
      </x:c>
      <x:c r="G54" t="str">
        <x:v>Android</x:v>
      </x:c>
      <x:c r="H54" t="n">
        <x:v>3677</x:v>
      </x:c>
      <x:c r="I54" t="n">
        <x:v>245</x:v>
      </x:c>
      <x:c r="J54" t="n">
        <x:v>27</x:v>
      </x:c>
      <x:c r="K54" t="n">
        <x:v>16</x:v>
      </x:c>
      <x:c r="L54" t="n">
        <x:v>9</x:v>
      </x:c>
      <x:c r="M54" s="28" t="n">
        <x:v>10852029.77</x:v>
      </x:c>
      <x:c r="N54" s="28" t="n">
        <x:v>21816.46</x:v>
      </x:c>
      <x:c r="O54" s="30" t="n">
        <x:f>IFERROR(I54/H54,0)</x:f>
        <x:v>0.06663040522164808</x:v>
      </x:c>
      <x:c r="P54" s="30" t="n">
        <x:f>IFERROR(J54/I54,0)</x:f>
        <x:v>0.11020408163265306</x:v>
      </x:c>
      <x:c r="Q54" s="30" t="n">
        <x:f>IFERROR(K54/J54,0)</x:f>
        <x:v>0.5925925925925926</x:v>
      </x:c>
      <x:c r="R54" s="30" t="n">
        <x:f>IFERROR(L54/K54,0)</x:f>
        <x:v>0.5625</x:v>
      </x:c>
      <x:c r="S54" s="28" t="n">
        <x:f>IFERROR(N54/J54,0)</x:f>
        <x:v>808.017037037037</x:v>
      </x:c>
      <x:c r="T54" s="28" t="n">
        <x:f>IFERROR(N54/K54,0)</x:f>
        <x:v>1363.52875</x:v>
      </x:c>
      <x:c r="U54" s="28" t="n">
        <x:f>IFERROR(N54/L54,0)</x:f>
        <x:v>2424.051111111111</x:v>
      </x:c>
    </x:row>
    <x:row r="55">
      <x:c r="A55" t="n">
        <x:v>54</x:v>
      </x:c>
      <x:c r="B55" s="26" t="n">
        <x:v>46036</x:v>
      </x:c>
      <x:c r="C55" t="str">
        <x:v>CPO_Digital_360</x:v>
      </x:c>
      <x:c r="D55" t="str">
        <x:v>Meta Ads</x:v>
      </x:c>
      <x:c r="E55" t="str">
        <x:v>Jovem Profissional</x:v>
      </x:c>
      <x:c r="F55" t="str">
        <x:v>Luanda</x:v>
      </x:c>
      <x:c r="G55" t="str">
        <x:v>Desktop</x:v>
      </x:c>
      <x:c r="H55" t="n">
        <x:v>22822</x:v>
      </x:c>
      <x:c r="I55" t="n">
        <x:v>295</x:v>
      </x:c>
      <x:c r="J55" t="n">
        <x:v>40</x:v>
      </x:c>
      <x:c r="K55" t="n">
        <x:v>19</x:v>
      </x:c>
      <x:c r="L55" t="n">
        <x:v>11</x:v>
      </x:c>
      <x:c r="M55" s="28" t="n">
        <x:v>12287432.96</x:v>
      </x:c>
      <x:c r="N55" s="28" t="n">
        <x:v>54671.07</x:v>
      </x:c>
      <x:c r="O55" s="30" t="n">
        <x:f>IFERROR(I55/H55,0)</x:f>
        <x:v>0.012926123915520112</x:v>
      </x:c>
      <x:c r="P55" s="30" t="n">
        <x:f>IFERROR(J55/I55,0)</x:f>
        <x:v>0.13559322033898305</x:v>
      </x:c>
      <x:c r="Q55" s="30" t="n">
        <x:f>IFERROR(K55/J55,0)</x:f>
        <x:v>0.475</x:v>
      </x:c>
      <x:c r="R55" s="30" t="n">
        <x:f>IFERROR(L55/K55,0)</x:f>
        <x:v>0.5789473684210527</x:v>
      </x:c>
      <x:c r="S55" s="28" t="n">
        <x:f>IFERROR(N55/J55,0)</x:f>
        <x:v>1366.77675</x:v>
      </x:c>
      <x:c r="T55" s="28" t="n">
        <x:f>IFERROR(N55/K55,0)</x:f>
        <x:v>2877.424736842105</x:v>
      </x:c>
      <x:c r="U55" s="28" t="n">
        <x:f>IFERROR(N55/L55,0)</x:f>
        <x:v>4970.097272727273</x:v>
      </x:c>
    </x:row>
    <x:row r="56">
      <x:c r="A56" t="n">
        <x:v>55</x:v>
      </x:c>
      <x:c r="B56" s="26" t="n">
        <x:v>46036</x:v>
      </x:c>
      <x:c r="C56" t="str">
        <x:v>CPO_Premium</x:v>
      </x:c>
      <x:c r="D56" t="str">
        <x:v>Google Ads</x:v>
      </x:c>
      <x:c r="E56" t="str">
        <x:v>Premium</x:v>
      </x:c>
      <x:c r="F56" t="str">
        <x:v>Luanda</x:v>
      </x:c>
      <x:c r="G56" t="str">
        <x:v>iOS</x:v>
      </x:c>
      <x:c r="H56" t="n">
        <x:v>14460</x:v>
      </x:c>
      <x:c r="I56" t="n">
        <x:v>309</x:v>
      </x:c>
      <x:c r="J56" t="n">
        <x:v>58</x:v>
      </x:c>
      <x:c r="K56" t="n">
        <x:v>46</x:v>
      </x:c>
      <x:c r="L56" t="n">
        <x:v>31</x:v>
      </x:c>
      <x:c r="M56" s="28" t="n">
        <x:v>146571810.42</x:v>
      </x:c>
      <x:c r="N56" s="28" t="n">
        <x:v>17712.62</x:v>
      </x:c>
      <x:c r="O56" s="30" t="n">
        <x:f>IFERROR(I56/H56,0)</x:f>
        <x:v>0.02136929460580913</x:v>
      </x:c>
      <x:c r="P56" s="30" t="n">
        <x:f>IFERROR(J56/I56,0)</x:f>
        <x:v>0.18770226537216828</x:v>
      </x:c>
      <x:c r="Q56" s="30" t="n">
        <x:f>IFERROR(K56/J56,0)</x:f>
        <x:v>0.7931034482758621</x:v>
      </x:c>
      <x:c r="R56" s="30" t="n">
        <x:f>IFERROR(L56/K56,0)</x:f>
        <x:v>0.6739130434782609</x:v>
      </x:c>
      <x:c r="S56" s="28" t="n">
        <x:f>IFERROR(N56/J56,0)</x:f>
        <x:v>305.39</x:v>
      </x:c>
      <x:c r="T56" s="28" t="n">
        <x:f>IFERROR(N56/K56,0)</x:f>
        <x:v>385.0569565217391</x:v>
      </x:c>
      <x:c r="U56" s="28" t="n">
        <x:f>IFERROR(N56/L56,0)</x:f>
        <x:v>571.3748387096774</x:v>
      </x:c>
    </x:row>
    <x:row r="57">
      <x:c r="A57" t="n">
        <x:v>56</x:v>
      </x:c>
      <x:c r="B57" s="26" t="n">
        <x:v>46037</x:v>
      </x:c>
      <x:c r="C57" t="str">
        <x:v>CPO_Fim_do_Mes</x:v>
      </x:c>
      <x:c r="D57" t="str">
        <x:v>BAI Directo/App</x:v>
      </x:c>
      <x:c r="E57" t="str">
        <x:v>Premium</x:v>
      </x:c>
      <x:c r="F57" t="str">
        <x:v>Luanda</x:v>
      </x:c>
      <x:c r="G57" t="str">
        <x:v>Android</x:v>
      </x:c>
      <x:c r="H57" t="n">
        <x:v>11468</x:v>
      </x:c>
      <x:c r="I57" t="n">
        <x:v>1138</x:v>
      </x:c>
      <x:c r="J57" t="n">
        <x:v>200</x:v>
      </x:c>
      <x:c r="K57" t="n">
        <x:v>147</x:v>
      </x:c>
      <x:c r="L57" t="n">
        <x:v>77</x:v>
      </x:c>
      <x:c r="M57" s="28" t="n">
        <x:v>411310115.66</x:v>
      </x:c>
      <x:c r="N57" s="28" t="n">
        <x:v>86935.47</x:v>
      </x:c>
      <x:c r="O57" s="30" t="n">
        <x:f>IFERROR(I57/H57,0)</x:f>
        <x:v>0.09923264736658528</x:v>
      </x:c>
      <x:c r="P57" s="30" t="n">
        <x:f>IFERROR(J57/I57,0)</x:f>
        <x:v>0.1757469244288225</x:v>
      </x:c>
      <x:c r="Q57" s="30" t="n">
        <x:f>IFERROR(K57/J57,0)</x:f>
        <x:v>0.735</x:v>
      </x:c>
      <x:c r="R57" s="30" t="n">
        <x:f>IFERROR(L57/K57,0)</x:f>
        <x:v>0.5238095238095238</x:v>
      </x:c>
      <x:c r="S57" s="28" t="n">
        <x:f>IFERROR(N57/J57,0)</x:f>
        <x:v>434.67735</x:v>
      </x:c>
      <x:c r="T57" s="28" t="n">
        <x:f>IFERROR(N57/K57,0)</x:f>
        <x:v>591.3977551020408</x:v>
      </x:c>
      <x:c r="U57" s="28" t="n">
        <x:f>IFERROR(N57/L57,0)</x:f>
        <x:v>1129.0320779220779</x:v>
      </x:c>
    </x:row>
    <x:row r="58">
      <x:c r="A58" t="n">
        <x:v>57</x:v>
      </x:c>
      <x:c r="B58" s="26" t="n">
        <x:v>46037</x:v>
      </x:c>
      <x:c r="C58" t="str">
        <x:v>CPO_Premium</x:v>
      </x:c>
      <x:c r="D58" t="str">
        <x:v>Google Ads</x:v>
      </x:c>
      <x:c r="E58" t="str">
        <x:v>Premium</x:v>
      </x:c>
      <x:c r="F58" t="str">
        <x:v>Huambo</x:v>
      </x:c>
      <x:c r="G58" t="str">
        <x:v>Android</x:v>
      </x:c>
      <x:c r="H58" t="n">
        <x:v>22043</x:v>
      </x:c>
      <x:c r="I58" t="n">
        <x:v>739</x:v>
      </x:c>
      <x:c r="J58" t="n">
        <x:v>132</x:v>
      </x:c>
      <x:c r="K58" t="n">
        <x:v>103</x:v>
      </x:c>
      <x:c r="L58" t="n">
        <x:v>83</x:v>
      </x:c>
      <x:c r="M58" s="28" t="n">
        <x:v>442596091.07</x:v>
      </x:c>
      <x:c r="N58" s="28" t="n">
        <x:v>109484.52</x:v>
      </x:c>
      <x:c r="O58" s="30" t="n">
        <x:f>IFERROR(I58/H58,0)</x:f>
        <x:v>0.033525382207503514</x:v>
      </x:c>
      <x:c r="P58" s="30" t="n">
        <x:f>IFERROR(J58/I58,0)</x:f>
        <x:v>0.17861975642760486</x:v>
      </x:c>
      <x:c r="Q58" s="30" t="n">
        <x:f>IFERROR(K58/J58,0)</x:f>
        <x:v>0.7803030303030303</x:v>
      </x:c>
      <x:c r="R58" s="30" t="n">
        <x:f>IFERROR(L58/K58,0)</x:f>
        <x:v>0.8058252427184466</x:v>
      </x:c>
      <x:c r="S58" s="28" t="n">
        <x:f>IFERROR(N58/J58,0)</x:f>
        <x:v>829.4281818181819</x:v>
      </x:c>
      <x:c r="T58" s="28" t="n">
        <x:f>IFERROR(N58/K58,0)</x:f>
        <x:v>1062.9565048543689</x:v>
      </x:c>
      <x:c r="U58" s="28" t="n">
        <x:f>IFERROR(N58/L58,0)</x:f>
        <x:v>1319.0906024096387</x:v>
      </x:c>
    </x:row>
    <x:row r="59">
      <x:c r="A59" t="n">
        <x:v>58</x:v>
      </x:c>
      <x:c r="B59" s="26" t="n">
        <x:v>46037</x:v>
      </x:c>
      <x:c r="C59" t="str">
        <x:v>CPO_Digital_360</x:v>
      </x:c>
      <x:c r="D59" t="str">
        <x:v>Google Ads</x:v>
      </x:c>
      <x:c r="E59" t="str">
        <x:v>Funcionário Público</x:v>
      </x:c>
      <x:c r="F59" t="str">
        <x:v>Benguela</x:v>
      </x:c>
      <x:c r="G59" t="str">
        <x:v>Android</x:v>
      </x:c>
      <x:c r="H59" t="n">
        <x:v>23072</x:v>
      </x:c>
      <x:c r="I59" t="n">
        <x:v>567</x:v>
      </x:c>
      <x:c r="J59" t="n">
        <x:v>100</x:v>
      </x:c>
      <x:c r="K59" t="n">
        <x:v>60</x:v>
      </x:c>
      <x:c r="L59" t="n">
        <x:v>34</x:v>
      </x:c>
      <x:c r="M59" s="28" t="n">
        <x:v>62471889.36</x:v>
      </x:c>
      <x:c r="N59" s="28" t="n">
        <x:v>25570.57</x:v>
      </x:c>
      <x:c r="O59" s="30" t="n">
        <x:f>IFERROR(I59/H59,0)</x:f>
        <x:v>0.0245752427184466</x:v>
      </x:c>
      <x:c r="P59" s="30" t="n">
        <x:f>IFERROR(J59/I59,0)</x:f>
        <x:v>0.1763668430335097</x:v>
      </x:c>
      <x:c r="Q59" s="30" t="n">
        <x:f>IFERROR(K59/J59,0)</x:f>
        <x:v>0.6</x:v>
      </x:c>
      <x:c r="R59" s="30" t="n">
        <x:f>IFERROR(L59/K59,0)</x:f>
        <x:v>0.5666666666666667</x:v>
      </x:c>
      <x:c r="S59" s="28" t="n">
        <x:f>IFERROR(N59/J59,0)</x:f>
        <x:v>255.7057</x:v>
      </x:c>
      <x:c r="T59" s="28" t="n">
        <x:f>IFERROR(N59/K59,0)</x:f>
        <x:v>426.1761666666667</x:v>
      </x:c>
      <x:c r="U59" s="28" t="n">
        <x:f>IFERROR(N59/L59,0)</x:f>
        <x:v>752.0755882352942</x:v>
      </x:c>
    </x:row>
    <x:row r="60">
      <x:c r="A60" t="n">
        <x:v>59</x:v>
      </x:c>
      <x:c r="B60" s="26" t="n">
        <x:v>46038</x:v>
      </x:c>
      <x:c r="C60" t="str">
        <x:v>CPO_Digital_360</x:v>
      </x:c>
      <x:c r="D60" t="str">
        <x:v>Google Ads</x:v>
      </x:c>
      <x:c r="E60" t="str">
        <x:v>Jovem Profissional</x:v>
      </x:c>
      <x:c r="F60" t="str">
        <x:v>Uíge</x:v>
      </x:c>
      <x:c r="G60" t="str">
        <x:v>Android</x:v>
      </x:c>
      <x:c r="H60" t="n">
        <x:v>5558</x:v>
      </x:c>
      <x:c r="I60" t="n">
        <x:v>156</x:v>
      </x:c>
      <x:c r="J60" t="n">
        <x:v>22</x:v>
      </x:c>
      <x:c r="K60" t="n">
        <x:v>10</x:v>
      </x:c>
      <x:c r="L60" t="n">
        <x:v>7</x:v>
      </x:c>
      <x:c r="M60" s="28" t="n">
        <x:v>10716936.13</x:v>
      </x:c>
      <x:c r="N60" s="28" t="n">
        <x:v>17805.37</x:v>
      </x:c>
      <x:c r="O60" s="30" t="n">
        <x:f>IFERROR(I60/H60,0)</x:f>
        <x:v>0.028067650233897085</x:v>
      </x:c>
      <x:c r="P60" s="30" t="n">
        <x:f>IFERROR(J60/I60,0)</x:f>
        <x:v>0.14102564102564102</x:v>
      </x:c>
      <x:c r="Q60" s="30" t="n">
        <x:f>IFERROR(K60/J60,0)</x:f>
        <x:v>0.45454545454545453</x:v>
      </x:c>
      <x:c r="R60" s="30" t="n">
        <x:f>IFERROR(L60/K60,0)</x:f>
        <x:v>0.7</x:v>
      </x:c>
      <x:c r="S60" s="28" t="n">
        <x:f>IFERROR(N60/J60,0)</x:f>
        <x:v>809.3349999999999</x:v>
      </x:c>
      <x:c r="T60" s="28" t="n">
        <x:f>IFERROR(N60/K60,0)</x:f>
        <x:v>1780.5369999999998</x:v>
      </x:c>
      <x:c r="U60" s="28" t="n">
        <x:f>IFERROR(N60/L60,0)</x:f>
        <x:v>2543.6242857142856</x:v>
      </x:c>
    </x:row>
    <x:row r="61">
      <x:c r="A61" t="n">
        <x:v>60</x:v>
      </x:c>
      <x:c r="B61" s="26" t="n">
        <x:v>46038</x:v>
      </x:c>
      <x:c r="C61" t="str">
        <x:v>CPO_Acesso_Rapido</x:v>
      </x:c>
      <x:c r="D61" t="str">
        <x:v>Google Ads</x:v>
      </x:c>
      <x:c r="E61" t="str">
        <x:v>Pequeno Negócio</x:v>
      </x:c>
      <x:c r="F61" t="str">
        <x:v>Luanda</x:v>
      </x:c>
      <x:c r="G61" t="str">
        <x:v>iOS</x:v>
      </x:c>
      <x:c r="H61" t="n">
        <x:v>2764</x:v>
      </x:c>
      <x:c r="I61" t="n">
        <x:v>85</x:v>
      </x:c>
      <x:c r="J61" t="n">
        <x:v>12</x:v>
      </x:c>
      <x:c r="K61" t="n">
        <x:v>4</x:v>
      </x:c>
      <x:c r="L61" t="n">
        <x:v>2</x:v>
      </x:c>
      <x:c r="M61" s="28" t="n">
        <x:v>6173426.75</x:v>
      </x:c>
      <x:c r="N61" s="28" t="n">
        <x:v>8546.34</x:v>
      </x:c>
      <x:c r="O61" s="30" t="n">
        <x:f>IFERROR(I61/H61,0)</x:f>
        <x:v>0.030752532561505064</x:v>
      </x:c>
      <x:c r="P61" s="30" t="n">
        <x:f>IFERROR(J61/I61,0)</x:f>
        <x:v>0.1411764705882353</x:v>
      </x:c>
      <x:c r="Q61" s="30" t="n">
        <x:f>IFERROR(K61/J61,0)</x:f>
        <x:v>0.3333333333333333</x:v>
      </x:c>
      <x:c r="R61" s="30" t="n">
        <x:f>IFERROR(L61/K61,0)</x:f>
        <x:v>0.5</x:v>
      </x:c>
      <x:c r="S61" s="28" t="n">
        <x:f>IFERROR(N61/J61,0)</x:f>
        <x:v>712.195</x:v>
      </x:c>
      <x:c r="T61" s="28" t="n">
        <x:f>IFERROR(N61/K61,0)</x:f>
        <x:v>2136.585</x:v>
      </x:c>
      <x:c r="U61" s="28" t="n">
        <x:f>IFERROR(N61/L61,0)</x:f>
        <x:v>4273.17</x:v>
      </x:c>
    </x:row>
    <x:row r="62">
      <x:c r="A62" t="n">
        <x:v>61</x:v>
      </x:c>
      <x:c r="B62" s="26" t="n">
        <x:v>46038</x:v>
      </x:c>
      <x:c r="C62" t="str">
        <x:v>CPO_Digital_360</x:v>
      </x:c>
      <x:c r="D62" t="str">
        <x:v>BAI Directo/App</x:v>
      </x:c>
      <x:c r="E62" t="str">
        <x:v>Assalariado</x:v>
      </x:c>
      <x:c r="F62" t="str">
        <x:v>Luanda</x:v>
      </x:c>
      <x:c r="G62" t="str">
        <x:v>Android</x:v>
      </x:c>
      <x:c r="H62" t="n">
        <x:v>3146</x:v>
      </x:c>
      <x:c r="I62" t="n">
        <x:v>368</x:v>
      </x:c>
      <x:c r="J62" t="n">
        <x:v>58</x:v>
      </x:c>
      <x:c r="K62" t="n">
        <x:v>44</x:v>
      </x:c>
      <x:c r="L62" t="n">
        <x:v>33</x:v>
      </x:c>
      <x:c r="M62" s="28" t="n">
        <x:v>74018141.28</x:v>
      </x:c>
      <x:c r="N62" s="28" t="n">
        <x:v>27924.73</x:v>
      </x:c>
      <x:c r="O62" s="30" t="n">
        <x:f>IFERROR(I62/H62,0)</x:f>
        <x:v>0.11697393515575334</x:v>
      </x:c>
      <x:c r="P62" s="30" t="n">
        <x:f>IFERROR(J62/I62,0)</x:f>
        <x:v>0.15760869565217392</x:v>
      </x:c>
      <x:c r="Q62" s="30" t="n">
        <x:f>IFERROR(K62/J62,0)</x:f>
        <x:v>0.7586206896551724</x:v>
      </x:c>
      <x:c r="R62" s="30" t="n">
        <x:f>IFERROR(L62/K62,0)</x:f>
        <x:v>0.75</x:v>
      </x:c>
      <x:c r="S62" s="28" t="n">
        <x:f>IFERROR(N62/J62,0)</x:f>
        <x:v>481.4608620689655</x:v>
      </x:c>
      <x:c r="T62" s="28" t="n">
        <x:f>IFERROR(N62/K62,0)</x:f>
        <x:v>634.6529545454546</x:v>
      </x:c>
      <x:c r="U62" s="28" t="n">
        <x:f>IFERROR(N62/L62,0)</x:f>
        <x:v>846.2039393939394</x:v>
      </x:c>
    </x:row>
    <x:row r="63">
      <x:c r="A63" t="n">
        <x:v>62</x:v>
      </x:c>
      <x:c r="B63" s="26" t="n">
        <x:v>46038</x:v>
      </x:c>
      <x:c r="C63" t="str">
        <x:v>CPO_Salario</x:v>
      </x:c>
      <x:c r="D63" t="str">
        <x:v>BAI Directo/App</x:v>
      </x:c>
      <x:c r="E63" t="str">
        <x:v>Assalariado</x:v>
      </x:c>
      <x:c r="F63" t="str">
        <x:v>Cabinda</x:v>
      </x:c>
      <x:c r="G63" t="str">
        <x:v>iOS</x:v>
      </x:c>
      <x:c r="H63" t="n">
        <x:v>9008</x:v>
      </x:c>
      <x:c r="I63" t="n">
        <x:v>869</x:v>
      </x:c>
      <x:c r="J63" t="n">
        <x:v>199</x:v>
      </x:c>
      <x:c r="K63" t="n">
        <x:v>132</x:v>
      </x:c>
      <x:c r="L63" t="n">
        <x:v>85</x:v>
      </x:c>
      <x:c r="M63" s="28" t="n">
        <x:v>197856452.23</x:v>
      </x:c>
      <x:c r="N63" s="28" t="n">
        <x:v>156785.43</x:v>
      </x:c>
      <x:c r="O63" s="30" t="n">
        <x:f>IFERROR(I63/H63,0)</x:f>
        <x:v>0.09646980461811723</x:v>
      </x:c>
      <x:c r="P63" s="30" t="n">
        <x:f>IFERROR(J63/I63,0)</x:f>
        <x:v>0.2289988492520138</x:v>
      </x:c>
      <x:c r="Q63" s="30" t="n">
        <x:f>IFERROR(K63/J63,0)</x:f>
        <x:v>0.6633165829145728</x:v>
      </x:c>
      <x:c r="R63" s="30" t="n">
        <x:f>IFERROR(L63/K63,0)</x:f>
        <x:v>0.6439393939393939</x:v>
      </x:c>
      <x:c r="S63" s="28" t="n">
        <x:f>IFERROR(N63/J63,0)</x:f>
        <x:v>787.8664824120602</x:v>
      </x:c>
      <x:c r="T63" s="28" t="n">
        <x:f>IFERROR(N63/K63,0)</x:f>
        <x:v>1187.768409090909</x:v>
      </x:c>
      <x:c r="U63" s="28" t="n">
        <x:f>IFERROR(N63/L63,0)</x:f>
        <x:v>1844.5344705882353</x:v>
      </x:c>
    </x:row>
    <x:row r="64">
      <x:c r="A64" t="n">
        <x:v>63</x:v>
      </x:c>
      <x:c r="B64" s="26" t="n">
        <x:v>46039</x:v>
      </x:c>
      <x:c r="C64" t="str">
        <x:v>CPO_Always_On</x:v>
      </x:c>
      <x:c r="D64" t="str">
        <x:v>E-mail</x:v>
      </x:c>
      <x:c r="E64" t="str">
        <x:v>Funcionário Público</x:v>
      </x:c>
      <x:c r="F64" t="str">
        <x:v>Luanda</x:v>
      </x:c>
      <x:c r="G64" t="str">
        <x:v>Android</x:v>
      </x:c>
      <x:c r="H64" t="n">
        <x:v>6141</x:v>
      </x:c>
      <x:c r="I64" t="n">
        <x:v>315</x:v>
      </x:c>
      <x:c r="J64" t="n">
        <x:v>31</x:v>
      </x:c>
      <x:c r="K64" t="n">
        <x:v>23</x:v>
      </x:c>
      <x:c r="L64" t="n">
        <x:v>14</x:v>
      </x:c>
      <x:c r="M64" s="28" t="n">
        <x:v>24573879.79</x:v>
      </x:c>
      <x:c r="N64" s="28" t="n">
        <x:v>46417.61</x:v>
      </x:c>
      <x:c r="O64" s="30" t="n">
        <x:f>IFERROR(I64/H64,0)</x:f>
        <x:v>0.05129457743038593</x:v>
      </x:c>
      <x:c r="P64" s="30" t="n">
        <x:f>IFERROR(J64/I64,0)</x:f>
        <x:v>0.09841269841269841</x:v>
      </x:c>
      <x:c r="Q64" s="30" t="n">
        <x:f>IFERROR(K64/J64,0)</x:f>
        <x:v>0.7419354838709677</x:v>
      </x:c>
      <x:c r="R64" s="30" t="n">
        <x:f>IFERROR(L64/K64,0)</x:f>
        <x:v>0.6086956521739131</x:v>
      </x:c>
      <x:c r="S64" s="28" t="n">
        <x:f>IFERROR(N64/J64,0)</x:f>
        <x:v>1497.342258064516</x:v>
      </x:c>
      <x:c r="T64" s="28" t="n">
        <x:f>IFERROR(N64/K64,0)</x:f>
        <x:v>2018.1569565217392</x:v>
      </x:c>
      <x:c r="U64" s="28" t="n">
        <x:f>IFERROR(N64/L64,0)</x:f>
        <x:v>3315.5435714285713</x:v>
      </x:c>
    </x:row>
    <x:row r="65">
      <x:c r="A65" t="n">
        <x:v>64</x:v>
      </x:c>
      <x:c r="B65" s="26" t="n">
        <x:v>46039</x:v>
      </x:c>
      <x:c r="C65" t="str">
        <x:v>CPO_Premium</x:v>
      </x:c>
      <x:c r="D65" t="str">
        <x:v>E-mail</x:v>
      </x:c>
      <x:c r="E65" t="str">
        <x:v>Jovem Profissional</x:v>
      </x:c>
      <x:c r="F65" t="str">
        <x:v>Benguela</x:v>
      </x:c>
      <x:c r="G65" t="str">
        <x:v>Android</x:v>
      </x:c>
      <x:c r="H65" t="n">
        <x:v>4101</x:v>
      </x:c>
      <x:c r="I65" t="n">
        <x:v>286</x:v>
      </x:c>
      <x:c r="J65" t="n">
        <x:v>28</x:v>
      </x:c>
      <x:c r="K65" t="n">
        <x:v>13</x:v>
      </x:c>
      <x:c r="L65" t="n">
        <x:v>8</x:v>
      </x:c>
      <x:c r="M65" s="28" t="n">
        <x:v>9062378.55</x:v>
      </x:c>
      <x:c r="N65" s="28" t="n">
        <x:v>35449.55</x:v>
      </x:c>
      <x:c r="O65" s="30" t="n">
        <x:f>IFERROR(I65/H65,0)</x:f>
        <x:v>0.06973908802731041</x:v>
      </x:c>
      <x:c r="P65" s="30" t="n">
        <x:f>IFERROR(J65/I65,0)</x:f>
        <x:v>0.0979020979020979</x:v>
      </x:c>
      <x:c r="Q65" s="30" t="n">
        <x:f>IFERROR(K65/J65,0)</x:f>
        <x:v>0.4642857142857143</x:v>
      </x:c>
      <x:c r="R65" s="30" t="n">
        <x:f>IFERROR(L65/K65,0)</x:f>
        <x:v>0.6153846153846154</x:v>
      </x:c>
      <x:c r="S65" s="28" t="n">
        <x:f>IFERROR(N65/J65,0)</x:f>
        <x:v>1266.0553571428572</x:v>
      </x:c>
      <x:c r="T65" s="28" t="n">
        <x:f>IFERROR(N65/K65,0)</x:f>
        <x:v>2726.888461538462</x:v>
      </x:c>
      <x:c r="U65" s="28" t="n">
        <x:f>IFERROR(N65/L65,0)</x:f>
        <x:v>4431.19375</x:v>
      </x:c>
    </x:row>
    <x:row r="66">
      <x:c r="A66" t="n">
        <x:v>65</x:v>
      </x:c>
      <x:c r="B66" s="26" t="n">
        <x:v>46039</x:v>
      </x:c>
      <x:c r="C66" t="str">
        <x:v>CPO_Salario</x:v>
      </x:c>
      <x:c r="D66" t="str">
        <x:v>BAI Directo/App</x:v>
      </x:c>
      <x:c r="E66" t="str">
        <x:v>Premium</x:v>
      </x:c>
      <x:c r="F66" t="str">
        <x:v>Luanda</x:v>
      </x:c>
      <x:c r="G66" t="str">
        <x:v>Android</x:v>
      </x:c>
      <x:c r="H66" t="n">
        <x:v>7778</x:v>
      </x:c>
      <x:c r="I66" t="n">
        <x:v>1129</x:v>
      </x:c>
      <x:c r="J66" t="n">
        <x:v>222</x:v>
      </x:c>
      <x:c r="K66" t="n">
        <x:v>162</x:v>
      </x:c>
      <x:c r="L66" t="n">
        <x:v>146</x:v>
      </x:c>
      <x:c r="M66" s="28" t="n">
        <x:v>786150336.03</x:v>
      </x:c>
      <x:c r="N66" s="28" t="n">
        <x:v>89089.97</x:v>
      </x:c>
      <x:c r="O66" s="30" t="n">
        <x:f>IFERROR(I66/H66,0)</x:f>
        <x:v>0.14515299562869632</x:v>
      </x:c>
      <x:c r="P66" s="30" t="n">
        <x:f>IFERROR(J66/I66,0)</x:f>
        <x:v>0.1966341895482728</x:v>
      </x:c>
      <x:c r="Q66" s="30" t="n">
        <x:f>IFERROR(K66/J66,0)</x:f>
        <x:v>0.7297297297297297</x:v>
      </x:c>
      <x:c r="R66" s="30" t="n">
        <x:f>IFERROR(L66/K66,0)</x:f>
        <x:v>0.9012345679012346</x:v>
      </x:c>
      <x:c r="S66" s="28" t="n">
        <x:f>IFERROR(N66/J66,0)</x:f>
        <x:v>401.3061711711712</x:v>
      </x:c>
      <x:c r="T66" s="28" t="n">
        <x:f>IFERROR(N66/K66,0)</x:f>
        <x:v>549.9380864197531</x:v>
      </x:c>
      <x:c r="U66" s="28" t="n">
        <x:f>IFERROR(N66/L66,0)</x:f>
        <x:v>610.2052739726028</x:v>
      </x:c>
    </x:row>
    <x:row r="67">
      <x:c r="A67" t="n">
        <x:v>66</x:v>
      </x:c>
      <x:c r="B67" s="26" t="n">
        <x:v>46040</x:v>
      </x:c>
      <x:c r="C67" t="str">
        <x:v>CPO_Acesso_Rapido</x:v>
      </x:c>
      <x:c r="D67" t="str">
        <x:v>Google Ads</x:v>
      </x:c>
      <x:c r="E67" t="str">
        <x:v>Funcionário Público</x:v>
      </x:c>
      <x:c r="F67" t="str">
        <x:v>Benguela</x:v>
      </x:c>
      <x:c r="G67" t="str">
        <x:v>Android</x:v>
      </x:c>
      <x:c r="H67" t="n">
        <x:v>5457</x:v>
      </x:c>
      <x:c r="I67" t="n">
        <x:v>83</x:v>
      </x:c>
      <x:c r="J67" t="n">
        <x:v>16</x:v>
      </x:c>
      <x:c r="K67" t="n">
        <x:v>12</x:v>
      </x:c>
      <x:c r="L67" t="n">
        <x:v>10</x:v>
      </x:c>
      <x:c r="M67" s="28" t="n">
        <x:v>19988452.72</x:v>
      </x:c>
      <x:c r="N67" s="28" t="n">
        <x:v>5439.79</x:v>
      </x:c>
      <x:c r="O67" s="30" t="n">
        <x:f>IFERROR(I67/H67,0)</x:f>
        <x:v>0.015209822246655671</x:v>
      </x:c>
      <x:c r="P67" s="30" t="n">
        <x:f>IFERROR(J67/I67,0)</x:f>
        <x:v>0.1927710843373494</x:v>
      </x:c>
      <x:c r="Q67" s="30" t="n">
        <x:f>IFERROR(K67/J67,0)</x:f>
        <x:v>0.75</x:v>
      </x:c>
      <x:c r="R67" s="30" t="n">
        <x:f>IFERROR(L67/K67,0)</x:f>
        <x:v>0.8333333333333334</x:v>
      </x:c>
      <x:c r="S67" s="28" t="n">
        <x:f>IFERROR(N67/J67,0)</x:f>
        <x:v>339.986875</x:v>
      </x:c>
      <x:c r="T67" s="28" t="n">
        <x:f>IFERROR(N67/K67,0)</x:f>
        <x:v>453.31583333333333</x:v>
      </x:c>
      <x:c r="U67" s="28" t="n">
        <x:f>IFERROR(N67/L67,0)</x:f>
        <x:v>543.979</x:v>
      </x:c>
    </x:row>
    <x:row r="68">
      <x:c r="A68" t="n">
        <x:v>67</x:v>
      </x:c>
      <x:c r="B68" s="26" t="n">
        <x:v>46040</x:v>
      </x:c>
      <x:c r="C68" t="str">
        <x:v>CPO_Digital_360</x:v>
      </x:c>
      <x:c r="D68" t="str">
        <x:v>Meta Ads</x:v>
      </x:c>
      <x:c r="E68" t="str">
        <x:v>Pequeno Negócio</x:v>
      </x:c>
      <x:c r="F68" t="str">
        <x:v>Cuanza Sul</x:v>
      </x:c>
      <x:c r="G68" t="str">
        <x:v>Desktop</x:v>
      </x:c>
      <x:c r="H68" t="n">
        <x:v>25586</x:v>
      </x:c>
      <x:c r="I68" t="n">
        <x:v>620</x:v>
      </x:c>
      <x:c r="J68" t="n">
        <x:v>80</x:v>
      </x:c>
      <x:c r="K68" t="n">
        <x:v>33</x:v>
      </x:c>
      <x:c r="L68" t="n">
        <x:v>18</x:v>
      </x:c>
      <x:c r="M68" s="28" t="n">
        <x:v>58538988.95</x:v>
      </x:c>
      <x:c r="N68" s="28" t="n">
        <x:v>113196.05</x:v>
      </x:c>
      <x:c r="O68" s="30" t="n">
        <x:f>IFERROR(I68/H68,0)</x:f>
        <x:v>0.024232001876025953</x:v>
      </x:c>
      <x:c r="P68" s="30" t="n">
        <x:f>IFERROR(J68/I68,0)</x:f>
        <x:v>0.12903225806451613</x:v>
      </x:c>
      <x:c r="Q68" s="30" t="n">
        <x:f>IFERROR(K68/J68,0)</x:f>
        <x:v>0.4125</x:v>
      </x:c>
      <x:c r="R68" s="30" t="n">
        <x:f>IFERROR(L68/K68,0)</x:f>
        <x:v>0.5454545454545454</x:v>
      </x:c>
      <x:c r="S68" s="28" t="n">
        <x:f>IFERROR(N68/J68,0)</x:f>
        <x:v>1414.950625</x:v>
      </x:c>
      <x:c r="T68" s="28" t="n">
        <x:f>IFERROR(N68/K68,0)</x:f>
        <x:v>3430.1833333333334</x:v>
      </x:c>
      <x:c r="U68" s="28" t="n">
        <x:f>IFERROR(N68/L68,0)</x:f>
        <x:v>6288.669444444445</x:v>
      </x:c>
    </x:row>
    <x:row r="69">
      <x:c r="A69" t="n">
        <x:v>68</x:v>
      </x:c>
      <x:c r="B69" s="26" t="n">
        <x:v>46040</x:v>
      </x:c>
      <x:c r="C69" t="str">
        <x:v>CPO_Fim_do_Mes</x:v>
      </x:c>
      <x:c r="D69" t="str">
        <x:v>E-mail</x:v>
      </x:c>
      <x:c r="E69" t="str">
        <x:v>Funcionário Público</x:v>
      </x:c>
      <x:c r="F69" t="str">
        <x:v>Cuanza Sul</x:v>
      </x:c>
      <x:c r="G69" t="str">
        <x:v>iOS</x:v>
      </x:c>
      <x:c r="H69" t="n">
        <x:v>1430</x:v>
      </x:c>
      <x:c r="I69" t="n">
        <x:v>99</x:v>
      </x:c>
      <x:c r="J69" t="n">
        <x:v>11</x:v>
      </x:c>
      <x:c r="K69" t="n">
        <x:v>8</x:v>
      </x:c>
      <x:c r="L69" t="n">
        <x:v>6</x:v>
      </x:c>
      <x:c r="M69" s="28" t="n">
        <x:v>9646402.73</x:v>
      </x:c>
      <x:c r="N69" s="28" t="n">
        <x:v>11143.68</x:v>
      </x:c>
      <x:c r="O69" s="30" t="n">
        <x:f>IFERROR(I69/H69,0)</x:f>
        <x:v>0.06923076923076923</x:v>
      </x:c>
      <x:c r="P69" s="30" t="n">
        <x:f>IFERROR(J69/I69,0)</x:f>
        <x:v>0.1111111111111111</x:v>
      </x:c>
      <x:c r="Q69" s="30" t="n">
        <x:f>IFERROR(K69/J69,0)</x:f>
        <x:v>0.7272727272727273</x:v>
      </x:c>
      <x:c r="R69" s="30" t="n">
        <x:f>IFERROR(L69/K69,0)</x:f>
        <x:v>0.75</x:v>
      </x:c>
      <x:c r="S69" s="28" t="n">
        <x:f>IFERROR(N69/J69,0)</x:f>
        <x:v>1013.0618181818182</x:v>
      </x:c>
      <x:c r="T69" s="28" t="n">
        <x:f>IFERROR(N69/K69,0)</x:f>
        <x:v>1392.96</x:v>
      </x:c>
      <x:c r="U69" s="28" t="n">
        <x:f>IFERROR(N69/L69,0)</x:f>
        <x:v>1857.28</x:v>
      </x:c>
    </x:row>
    <x:row r="70">
      <x:c r="A70" t="n">
        <x:v>69</x:v>
      </x:c>
      <x:c r="B70" s="26" t="n">
        <x:v>46040</x:v>
      </x:c>
      <x:c r="C70" t="str">
        <x:v>CPO_Always_On</x:v>
      </x:c>
      <x:c r="D70" t="str">
        <x:v>BAI Directo/App</x:v>
      </x:c>
      <x:c r="E70" t="str">
        <x:v>Assalariado</x:v>
      </x:c>
      <x:c r="F70" t="str">
        <x:v>Cuanza Sul</x:v>
      </x:c>
      <x:c r="G70" t="str">
        <x:v>iOS</x:v>
      </x:c>
      <x:c r="H70" t="n">
        <x:v>6400</x:v>
      </x:c>
      <x:c r="I70" t="n">
        <x:v>771</x:v>
      </x:c>
      <x:c r="J70" t="n">
        <x:v>140</x:v>
      </x:c>
      <x:c r="K70" t="n">
        <x:v>98</x:v>
      </x:c>
      <x:c r="L70" t="n">
        <x:v>66</x:v>
      </x:c>
      <x:c r="M70" s="28" t="n">
        <x:v>148283626</x:v>
      </x:c>
      <x:c r="N70" s="28" t="n">
        <x:v>36948.6</x:v>
      </x:c>
      <x:c r="O70" s="30" t="n">
        <x:f>IFERROR(I70/H70,0)</x:f>
        <x:v>0.12046875</x:v>
      </x:c>
      <x:c r="P70" s="30" t="n">
        <x:f>IFERROR(J70/I70,0)</x:f>
        <x:v>0.1815823605706874</x:v>
      </x:c>
      <x:c r="Q70" s="30" t="n">
        <x:f>IFERROR(K70/J70,0)</x:f>
        <x:v>0.7</x:v>
      </x:c>
      <x:c r="R70" s="30" t="n">
        <x:f>IFERROR(L70/K70,0)</x:f>
        <x:v>0.673469387755102</x:v>
      </x:c>
      <x:c r="S70" s="28" t="n">
        <x:f>IFERROR(N70/J70,0)</x:f>
        <x:v>263.9185714285714</x:v>
      </x:c>
      <x:c r="T70" s="28" t="n">
        <x:f>IFERROR(N70/K70,0)</x:f>
        <x:v>377.02653061224487</x:v>
      </x:c>
      <x:c r="U70" s="28" t="n">
        <x:f>IFERROR(N70/L70,0)</x:f>
        <x:v>559.8272727272727</x:v>
      </x:c>
    </x:row>
    <x:row r="71">
      <x:c r="A71" t="n">
        <x:v>70</x:v>
      </x:c>
      <x:c r="B71" s="26" t="n">
        <x:v>46040</x:v>
      </x:c>
      <x:c r="C71" t="str">
        <x:v>CPO_Premium</x:v>
      </x:c>
      <x:c r="D71" t="str">
        <x:v>SMS</x:v>
      </x:c>
      <x:c r="E71" t="str">
        <x:v>Premium</x:v>
      </x:c>
      <x:c r="F71" t="str">
        <x:v>Luanda</x:v>
      </x:c>
      <x:c r="G71" t="str">
        <x:v>Android</x:v>
      </x:c>
      <x:c r="H71" t="n">
        <x:v>8519</x:v>
      </x:c>
      <x:c r="I71" t="n">
        <x:v>832</x:v>
      </x:c>
      <x:c r="J71" t="n">
        <x:v>105</x:v>
      </x:c>
      <x:c r="K71" t="n">
        <x:v>91</x:v>
      </x:c>
      <x:c r="L71" t="n">
        <x:v>65</x:v>
      </x:c>
      <x:c r="M71" s="28" t="n">
        <x:v>329999727.58</x:v>
      </x:c>
      <x:c r="N71" s="28" t="n">
        <x:v>98652.99</x:v>
      </x:c>
      <x:c r="O71" s="30" t="n">
        <x:f>IFERROR(I71/H71,0)</x:f>
        <x:v>0.09766404507571311</x:v>
      </x:c>
      <x:c r="P71" s="30" t="n">
        <x:f>IFERROR(J71/I71,0)</x:f>
        <x:v>0.12620192307692307</x:v>
      </x:c>
      <x:c r="Q71" s="30" t="n">
        <x:f>IFERROR(K71/J71,0)</x:f>
        <x:v>0.8666666666666667</x:v>
      </x:c>
      <x:c r="R71" s="30" t="n">
        <x:f>IFERROR(L71/K71,0)</x:f>
        <x:v>0.7142857142857143</x:v>
      </x:c>
      <x:c r="S71" s="28" t="n">
        <x:f>IFERROR(N71/J71,0)</x:f>
        <x:v>939.5522857142857</x:v>
      </x:c>
      <x:c r="T71" s="28" t="n">
        <x:f>IFERROR(N71/K71,0)</x:f>
        <x:v>1084.0987912087912</x:v>
      </x:c>
      <x:c r="U71" s="28" t="n">
        <x:f>IFERROR(N71/L71,0)</x:f>
        <x:v>1517.7383076923077</x:v>
      </x:c>
    </x:row>
    <x:row r="72">
      <x:c r="A72" t="n">
        <x:v>71</x:v>
      </x:c>
      <x:c r="B72" s="26" t="n">
        <x:v>46041</x:v>
      </x:c>
      <x:c r="C72" t="str">
        <x:v>CPO_Fim_do_Mes</x:v>
      </x:c>
      <x:c r="D72" t="str">
        <x:v>Meta Ads</x:v>
      </x:c>
      <x:c r="E72" t="str">
        <x:v>Jovem Profissional</x:v>
      </x:c>
      <x:c r="F72" t="str">
        <x:v>Luanda</x:v>
      </x:c>
      <x:c r="G72" t="str">
        <x:v>Android</x:v>
      </x:c>
      <x:c r="H72" t="n">
        <x:v>24808</x:v>
      </x:c>
      <x:c r="I72" t="n">
        <x:v>461</x:v>
      </x:c>
      <x:c r="J72" t="n">
        <x:v>48</x:v>
      </x:c>
      <x:c r="K72" t="n">
        <x:v>28</x:v>
      </x:c>
      <x:c r="L72" t="n">
        <x:v>15</x:v>
      </x:c>
      <x:c r="M72" s="28" t="n">
        <x:v>23084701.53</x:v>
      </x:c>
      <x:c r="N72" s="28" t="n">
        <x:v>38754.38</x:v>
      </x:c>
      <x:c r="O72" s="30" t="n">
        <x:f>IFERROR(I72/H72,0)</x:f>
        <x:v>0.018582715253144148</x:v>
      </x:c>
      <x:c r="P72" s="30" t="n">
        <x:f>IFERROR(J72/I72,0)</x:f>
        <x:v>0.10412147505422993</x:v>
      </x:c>
      <x:c r="Q72" s="30" t="n">
        <x:f>IFERROR(K72/J72,0)</x:f>
        <x:v>0.5833333333333334</x:v>
      </x:c>
      <x:c r="R72" s="30" t="n">
        <x:f>IFERROR(L72/K72,0)</x:f>
        <x:v>0.5357142857142857</x:v>
      </x:c>
      <x:c r="S72" s="28" t="n">
        <x:f>IFERROR(N72/J72,0)</x:f>
        <x:v>807.3829166666666</x:v>
      </x:c>
      <x:c r="T72" s="28" t="n">
        <x:f>IFERROR(N72/K72,0)</x:f>
        <x:v>1384.0849999999998</x:v>
      </x:c>
      <x:c r="U72" s="28" t="n">
        <x:f>IFERROR(N72/L72,0)</x:f>
        <x:v>2583.625333333333</x:v>
      </x:c>
    </x:row>
    <x:row r="73">
      <x:c r="A73" t="n">
        <x:v>72</x:v>
      </x:c>
      <x:c r="B73" s="26" t="n">
        <x:v>46041</x:v>
      </x:c>
      <x:c r="C73" t="str">
        <x:v>CPO_Salario</x:v>
      </x:c>
      <x:c r="D73" t="str">
        <x:v>SMS</x:v>
      </x:c>
      <x:c r="E73" t="str">
        <x:v>Pequeno Negócio</x:v>
      </x:c>
      <x:c r="F73" t="str">
        <x:v>Huíla</x:v>
      </x:c>
      <x:c r="G73" t="str">
        <x:v>Android</x:v>
      </x:c>
      <x:c r="H73" t="n">
        <x:v>7571</x:v>
      </x:c>
      <x:c r="I73" t="n">
        <x:v>736</x:v>
      </x:c>
      <x:c r="J73" t="n">
        <x:v>94</x:v>
      </x:c>
      <x:c r="K73" t="n">
        <x:v>30</x:v>
      </x:c>
      <x:c r="L73" t="n">
        <x:v>18</x:v>
      </x:c>
      <x:c r="M73" s="28" t="n">
        <x:v>55511035.2</x:v>
      </x:c>
      <x:c r="N73" s="28" t="n">
        <x:v>94873.31</x:v>
      </x:c>
      <x:c r="O73" s="30" t="n">
        <x:f>IFERROR(I73/H73,0)</x:f>
        <x:v>0.09721304979527143</x:v>
      </x:c>
      <x:c r="P73" s="30" t="n">
        <x:f>IFERROR(J73/I73,0)</x:f>
        <x:v>0.12771739130434784</x:v>
      </x:c>
      <x:c r="Q73" s="30" t="n">
        <x:f>IFERROR(K73/J73,0)</x:f>
        <x:v>0.3191489361702128</x:v>
      </x:c>
      <x:c r="R73" s="30" t="n">
        <x:f>IFERROR(L73/K73,0)</x:f>
        <x:v>0.6</x:v>
      </x:c>
      <x:c r="S73" s="28" t="n">
        <x:f>IFERROR(N73/J73,0)</x:f>
        <x:v>1009.2905319148936</x:v>
      </x:c>
      <x:c r="T73" s="28" t="n">
        <x:f>IFERROR(N73/K73,0)</x:f>
        <x:v>3162.4436666666666</x:v>
      </x:c>
      <x:c r="U73" s="28" t="n">
        <x:f>IFERROR(N73/L73,0)</x:f>
        <x:v>5270.739444444444</x:v>
      </x:c>
    </x:row>
    <x:row r="74">
      <x:c r="A74" t="n">
        <x:v>73</x:v>
      </x:c>
      <x:c r="B74" s="26" t="n">
        <x:v>46041</x:v>
      </x:c>
      <x:c r="C74" t="str">
        <x:v>CPO_Premium</x:v>
      </x:c>
      <x:c r="D74" t="str">
        <x:v>Meta Ads</x:v>
      </x:c>
      <x:c r="E74" t="str">
        <x:v>Assalariado</x:v>
      </x:c>
      <x:c r="F74" t="str">
        <x:v>Luanda</x:v>
      </x:c>
      <x:c r="G74" t="str">
        <x:v>Android</x:v>
      </x:c>
      <x:c r="H74" t="n">
        <x:v>8319</x:v>
      </x:c>
      <x:c r="I74" t="n">
        <x:v>121</x:v>
      </x:c>
      <x:c r="J74" t="n">
        <x:v>16</x:v>
      </x:c>
      <x:c r="K74" t="n">
        <x:v>11</x:v>
      </x:c>
      <x:c r="L74" t="n">
        <x:v>7</x:v>
      </x:c>
      <x:c r="M74" s="28" t="n">
        <x:v>15157171.77</x:v>
      </x:c>
      <x:c r="N74" s="28" t="n">
        <x:v>20425.3</x:v>
      </x:c>
      <x:c r="O74" s="30" t="n">
        <x:f>IFERROR(I74/H74,0)</x:f>
        <x:v>0.014545017429979564</x:v>
      </x:c>
      <x:c r="P74" s="30" t="n">
        <x:f>IFERROR(J74/I74,0)</x:f>
        <x:v>0.1322314049586777</x:v>
      </x:c>
      <x:c r="Q74" s="30" t="n">
        <x:f>IFERROR(K74/J74,0)</x:f>
        <x:v>0.6875</x:v>
      </x:c>
      <x:c r="R74" s="30" t="n">
        <x:f>IFERROR(L74/K74,0)</x:f>
        <x:v>0.6363636363636364</x:v>
      </x:c>
      <x:c r="S74" s="28" t="n">
        <x:f>IFERROR(N74/J74,0)</x:f>
        <x:v>1276.58125</x:v>
      </x:c>
      <x:c r="T74" s="28" t="n">
        <x:f>IFERROR(N74/K74,0)</x:f>
        <x:v>1856.8454545454545</x:v>
      </x:c>
      <x:c r="U74" s="28" t="n">
        <x:f>IFERROR(N74/L74,0)</x:f>
        <x:v>2917.9</x:v>
      </x:c>
    </x:row>
    <x:row r="75">
      <x:c r="A75" t="n">
        <x:v>74</x:v>
      </x:c>
      <x:c r="B75" s="26" t="n">
        <x:v>46041</x:v>
      </x:c>
      <x:c r="C75" t="str">
        <x:v>CPO_Digital_360</x:v>
      </x:c>
      <x:c r="D75" t="str">
        <x:v>Google Ads</x:v>
      </x:c>
      <x:c r="E75" t="str">
        <x:v>Jovem Profissional</x:v>
      </x:c>
      <x:c r="F75" t="str">
        <x:v>Huíla</x:v>
      </x:c>
      <x:c r="G75" t="str">
        <x:v>iOS</x:v>
      </x:c>
      <x:c r="H75" t="n">
        <x:v>23851</x:v>
      </x:c>
      <x:c r="I75" t="n">
        <x:v>712</x:v>
      </x:c>
      <x:c r="J75" t="n">
        <x:v>116</x:v>
      </x:c>
      <x:c r="K75" t="n">
        <x:v>65</x:v>
      </x:c>
      <x:c r="L75" t="n">
        <x:v>27</x:v>
      </x:c>
      <x:c r="M75" s="28" t="n">
        <x:v>34315543.11</x:v>
      </x:c>
      <x:c r="N75" s="28" t="n">
        <x:v>134078.39</x:v>
      </x:c>
      <x:c r="O75" s="30" t="n">
        <x:f>IFERROR(I75/H75,0)</x:f>
        <x:v>0.029851997819797912</x:v>
      </x:c>
      <x:c r="P75" s="30" t="n">
        <x:f>IFERROR(J75/I75,0)</x:f>
        <x:v>0.16292134831460675</x:v>
      </x:c>
      <x:c r="Q75" s="30" t="n">
        <x:f>IFERROR(K75/J75,0)</x:f>
        <x:v>0.5603448275862069</x:v>
      </x:c>
      <x:c r="R75" s="30" t="n">
        <x:f>IFERROR(L75/K75,0)</x:f>
        <x:v>0.4153846153846154</x:v>
      </x:c>
      <x:c r="S75" s="28" t="n">
        <x:f>IFERROR(N75/J75,0)</x:f>
        <x:v>1155.8481896551725</x:v>
      </x:c>
      <x:c r="T75" s="28" t="n">
        <x:f>IFERROR(N75/K75,0)</x:f>
        <x:v>2062.7444615384616</x:v>
      </x:c>
      <x:c r="U75" s="28" t="n">
        <x:f>IFERROR(N75/L75,0)</x:f>
        <x:v>4965.866296296297</x:v>
      </x:c>
    </x:row>
    <x:row r="76">
      <x:c r="A76" t="n">
        <x:v>75</x:v>
      </x:c>
      <x:c r="B76" s="26" t="n">
        <x:v>46042</x:v>
      </x:c>
      <x:c r="C76" t="str">
        <x:v>CPO_Always_On</x:v>
      </x:c>
      <x:c r="D76" t="str">
        <x:v>TikTok Ads</x:v>
      </x:c>
      <x:c r="E76" t="str">
        <x:v>Premium</x:v>
      </x:c>
      <x:c r="F76" t="str">
        <x:v>Luanda</x:v>
      </x:c>
      <x:c r="G76" t="str">
        <x:v>iOS</x:v>
      </x:c>
      <x:c r="H76" t="n">
        <x:v>12290</x:v>
      </x:c>
      <x:c r="I76" t="n">
        <x:v>194</x:v>
      </x:c>
      <x:c r="J76" t="n">
        <x:v>17</x:v>
      </x:c>
      <x:c r="K76" t="n">
        <x:v>14</x:v>
      </x:c>
      <x:c r="L76" t="n">
        <x:v>11</x:v>
      </x:c>
      <x:c r="M76" s="28" t="n">
        <x:v>56556310.33</x:v>
      </x:c>
      <x:c r="N76" s="28" t="n">
        <x:v>29454.27</x:v>
      </x:c>
      <x:c r="O76" s="30" t="n">
        <x:f>IFERROR(I76/H76,0)</x:f>
        <x:v>0.01578519121236778</x:v>
      </x:c>
      <x:c r="P76" s="30" t="n">
        <x:f>IFERROR(J76/I76,0)</x:f>
        <x:v>0.08762886597938144</x:v>
      </x:c>
      <x:c r="Q76" s="30" t="n">
        <x:f>IFERROR(K76/J76,0)</x:f>
        <x:v>0.8235294117647058</x:v>
      </x:c>
      <x:c r="R76" s="30" t="n">
        <x:f>IFERROR(L76/K76,0)</x:f>
        <x:v>0.7857142857142857</x:v>
      </x:c>
      <x:c r="S76" s="28" t="n">
        <x:f>IFERROR(N76/J76,0)</x:f>
        <x:v>1732.604117647059</x:v>
      </x:c>
      <x:c r="T76" s="28" t="n">
        <x:f>IFERROR(N76/K76,0)</x:f>
        <x:v>2103.8764285714287</x:v>
      </x:c>
      <x:c r="U76" s="28" t="n">
        <x:f>IFERROR(N76/L76,0)</x:f>
        <x:v>2677.660909090909</x:v>
      </x:c>
    </x:row>
    <x:row r="77">
      <x:c r="A77" t="n">
        <x:v>76</x:v>
      </x:c>
      <x:c r="B77" s="26" t="n">
        <x:v>46042</x:v>
      </x:c>
      <x:c r="C77" t="str">
        <x:v>CPO_Always_On</x:v>
      </x:c>
      <x:c r="D77" t="str">
        <x:v>E-mail</x:v>
      </x:c>
      <x:c r="E77" t="str">
        <x:v>Pequeno Negócio</x:v>
      </x:c>
      <x:c r="F77" t="str">
        <x:v>Cuanza Sul</x:v>
      </x:c>
      <x:c r="G77" t="str">
        <x:v>Android</x:v>
      </x:c>
      <x:c r="H77" t="n">
        <x:v>4543</x:v>
      </x:c>
      <x:c r="I77" t="n">
        <x:v>219</x:v>
      </x:c>
      <x:c r="J77" t="n">
        <x:v>17</x:v>
      </x:c>
      <x:c r="K77" t="n">
        <x:v>5</x:v>
      </x:c>
      <x:c r="L77" t="n">
        <x:v>3</x:v>
      </x:c>
      <x:c r="M77" s="28" t="n">
        <x:v>9795964.94</x:v>
      </x:c>
      <x:c r="N77" s="28" t="n">
        <x:v>51670.81</x:v>
      </x:c>
      <x:c r="O77" s="30" t="n">
        <x:f>IFERROR(I77/H77,0)</x:f>
        <x:v>0.048206031256878716</x:v>
      </x:c>
      <x:c r="P77" s="30" t="n">
        <x:f>IFERROR(J77/I77,0)</x:f>
        <x:v>0.0776255707762557</x:v>
      </x:c>
      <x:c r="Q77" s="30" t="n">
        <x:f>IFERROR(K77/J77,0)</x:f>
        <x:v>0.29411764705882354</x:v>
      </x:c>
      <x:c r="R77" s="30" t="n">
        <x:f>IFERROR(L77/K77,0)</x:f>
        <x:v>0.6</x:v>
      </x:c>
      <x:c r="S77" s="28" t="n">
        <x:f>IFERROR(N77/J77,0)</x:f>
        <x:v>3039.4594117647057</x:v>
      </x:c>
      <x:c r="T77" s="28" t="n">
        <x:f>IFERROR(N77/K77,0)</x:f>
        <x:v>10334.162</x:v>
      </x:c>
      <x:c r="U77" s="28" t="n">
        <x:f>IFERROR(N77/L77,0)</x:f>
        <x:v>17223.603333333333</x:v>
      </x:c>
    </x:row>
    <x:row r="78">
      <x:c r="A78" t="n">
        <x:v>77</x:v>
      </x:c>
      <x:c r="B78" s="26" t="n">
        <x:v>46042</x:v>
      </x:c>
      <x:c r="C78" t="str">
        <x:v>CPO_Always_On</x:v>
      </x:c>
      <x:c r="D78" t="str">
        <x:v>TikTok Ads</x:v>
      </x:c>
      <x:c r="E78" t="str">
        <x:v>Assalariado</x:v>
      </x:c>
      <x:c r="F78" t="str">
        <x:v>Benguela</x:v>
      </x:c>
      <x:c r="G78" t="str">
        <x:v>iOS</x:v>
      </x:c>
      <x:c r="H78" t="n">
        <x:v>20818</x:v>
      </x:c>
      <x:c r="I78" t="n">
        <x:v>400</x:v>
      </x:c>
      <x:c r="J78" t="n">
        <x:v>32</x:v>
      </x:c>
      <x:c r="K78" t="n">
        <x:v>20</x:v>
      </x:c>
      <x:c r="L78" t="n">
        <x:v>13</x:v>
      </x:c>
      <x:c r="M78" s="28" t="n">
        <x:v>28154318.93</x:v>
      </x:c>
      <x:c r="N78" s="28" t="n">
        <x:v>72769.46</x:v>
      </x:c>
      <x:c r="O78" s="30" t="n">
        <x:f>IFERROR(I78/H78,0)</x:f>
        <x:v>0.019214141608223653</x:v>
      </x:c>
      <x:c r="P78" s="30" t="n">
        <x:f>IFERROR(J78/I78,0)</x:f>
        <x:v>0.08</x:v>
      </x:c>
      <x:c r="Q78" s="30" t="n">
        <x:f>IFERROR(K78/J78,0)</x:f>
        <x:v>0.625</x:v>
      </x:c>
      <x:c r="R78" s="30" t="n">
        <x:f>IFERROR(L78/K78,0)</x:f>
        <x:v>0.65</x:v>
      </x:c>
      <x:c r="S78" s="28" t="n">
        <x:f>IFERROR(N78/J78,0)</x:f>
        <x:v>2274.045625</x:v>
      </x:c>
      <x:c r="T78" s="28" t="n">
        <x:f>IFERROR(N78/K78,0)</x:f>
        <x:v>3638.4730000000004</x:v>
      </x:c>
      <x:c r="U78" s="28" t="n">
        <x:f>IFERROR(N78/L78,0)</x:f>
        <x:v>5597.65076923077</x:v>
      </x:c>
    </x:row>
    <x:row r="79">
      <x:c r="A79" t="n">
        <x:v>78</x:v>
      </x:c>
      <x:c r="B79" s="26" t="n">
        <x:v>46042</x:v>
      </x:c>
      <x:c r="C79" t="str">
        <x:v>CPO_Always_On</x:v>
      </x:c>
      <x:c r="D79" t="str">
        <x:v>Meta Ads</x:v>
      </x:c>
      <x:c r="E79" t="str">
        <x:v>Funcionário Público</x:v>
      </x:c>
      <x:c r="F79" t="str">
        <x:v>Uíge</x:v>
      </x:c>
      <x:c r="G79" t="str">
        <x:v>Android</x:v>
      </x:c>
      <x:c r="H79" t="n">
        <x:v>15006</x:v>
      </x:c>
      <x:c r="I79" t="n">
        <x:v>221</x:v>
      </x:c>
      <x:c r="J79" t="n">
        <x:v>23</x:v>
      </x:c>
      <x:c r="K79" t="n">
        <x:v>17</x:v>
      </x:c>
      <x:c r="L79" t="n">
        <x:v>11</x:v>
      </x:c>
      <x:c r="M79" s="28" t="n">
        <x:v>22871200.46</x:v>
      </x:c>
      <x:c r="N79" s="28" t="n">
        <x:v>11804.05</x:v>
      </x:c>
      <x:c r="O79" s="30" t="n">
        <x:f>IFERROR(I79/H79,0)</x:f>
        <x:v>0.014727442356390777</x:v>
      </x:c>
      <x:c r="P79" s="30" t="n">
        <x:f>IFERROR(J79/I79,0)</x:f>
        <x:v>0.10407239819004525</x:v>
      </x:c>
      <x:c r="Q79" s="30" t="n">
        <x:f>IFERROR(K79/J79,0)</x:f>
        <x:v>0.7391304347826086</x:v>
      </x:c>
      <x:c r="R79" s="30" t="n">
        <x:f>IFERROR(L79/K79,0)</x:f>
        <x:v>0.6470588235294118</x:v>
      </x:c>
      <x:c r="S79" s="28" t="n">
        <x:f>IFERROR(N79/J79,0)</x:f>
        <x:v>513.2195652173913</x:v>
      </x:c>
      <x:c r="T79" s="28" t="n">
        <x:f>IFERROR(N79/K79,0)</x:f>
        <x:v>694.3558823529411</x:v>
      </x:c>
      <x:c r="U79" s="28" t="n">
        <x:f>IFERROR(N79/L79,0)</x:f>
        <x:v>1073.0954545454545</x:v>
      </x:c>
    </x:row>
    <x:row r="80">
      <x:c r="A80" t="n">
        <x:v>79</x:v>
      </x:c>
      <x:c r="B80" s="26" t="n">
        <x:v>46042</x:v>
      </x:c>
      <x:c r="C80" t="str">
        <x:v>CPO_Fim_do_Mes</x:v>
      </x:c>
      <x:c r="D80" t="str">
        <x:v>SMS</x:v>
      </x:c>
      <x:c r="E80" t="str">
        <x:v>Premium</x:v>
      </x:c>
      <x:c r="F80" t="str">
        <x:v>Luanda</x:v>
      </x:c>
      <x:c r="G80" t="str">
        <x:v>iOS</x:v>
      </x:c>
      <x:c r="H80" t="n">
        <x:v>3495</x:v>
      </x:c>
      <x:c r="I80" t="n">
        <x:v>292</x:v>
      </x:c>
      <x:c r="J80" t="n">
        <x:v>26</x:v>
      </x:c>
      <x:c r="K80" t="n">
        <x:v>19</x:v>
      </x:c>
      <x:c r="L80" t="n">
        <x:v>16</x:v>
      </x:c>
      <x:c r="M80" s="28" t="n">
        <x:v>86986404.89</x:v>
      </x:c>
      <x:c r="N80" s="28" t="n">
        <x:v>17244.2</x:v>
      </x:c>
      <x:c r="O80" s="30" t="n">
        <x:f>IFERROR(I80/H80,0)</x:f>
        <x:v>0.08354792560801144</x:v>
      </x:c>
      <x:c r="P80" s="30" t="n">
        <x:f>IFERROR(J80/I80,0)</x:f>
        <x:v>0.08904109589041095</x:v>
      </x:c>
      <x:c r="Q80" s="30" t="n">
        <x:f>IFERROR(K80/J80,0)</x:f>
        <x:v>0.7307692307692307</x:v>
      </x:c>
      <x:c r="R80" s="30" t="n">
        <x:f>IFERROR(L80/K80,0)</x:f>
        <x:v>0.8421052631578947</x:v>
      </x:c>
      <x:c r="S80" s="28" t="n">
        <x:f>IFERROR(N80/J80,0)</x:f>
        <x:v>663.2384615384616</x:v>
      </x:c>
      <x:c r="T80" s="28" t="n">
        <x:f>IFERROR(N80/K80,0)</x:f>
        <x:v>907.5894736842106</x:v>
      </x:c>
      <x:c r="U80" s="28" t="n">
        <x:f>IFERROR(N80/L80,0)</x:f>
        <x:v>1077.7625</x:v>
      </x:c>
    </x:row>
    <x:row r="81">
      <x:c r="A81" t="n">
        <x:v>80</x:v>
      </x:c>
      <x:c r="B81" s="26" t="n">
        <x:v>46043</x:v>
      </x:c>
      <x:c r="C81" t="str">
        <x:v>CPO_Acesso_Rapido</x:v>
      </x:c>
      <x:c r="D81" t="str">
        <x:v>E-mail</x:v>
      </x:c>
      <x:c r="E81" t="str">
        <x:v>Pequeno Negócio</x:v>
      </x:c>
      <x:c r="F81" t="str">
        <x:v>Luanda</x:v>
      </x:c>
      <x:c r="G81" t="str">
        <x:v>Android</x:v>
      </x:c>
      <x:c r="H81" t="n">
        <x:v>5785</x:v>
      </x:c>
      <x:c r="I81" t="n">
        <x:v>258</x:v>
      </x:c>
      <x:c r="J81" t="n">
        <x:v>31</x:v>
      </x:c>
      <x:c r="K81" t="n">
        <x:v>13</x:v>
      </x:c>
      <x:c r="L81" t="n">
        <x:v>5</x:v>
      </x:c>
      <x:c r="M81" s="28" t="n">
        <x:v>18624991.48</x:v>
      </x:c>
      <x:c r="N81" s="28" t="n">
        <x:v>59890.26</x:v>
      </x:c>
      <x:c r="O81" s="30" t="n">
        <x:f>IFERROR(I81/H81,0)</x:f>
        <x:v>0.0445980985306828</x:v>
      </x:c>
      <x:c r="P81" s="30" t="n">
        <x:f>IFERROR(J81/I81,0)</x:f>
        <x:v>0.12015503875968993</x:v>
      </x:c>
      <x:c r="Q81" s="30" t="n">
        <x:f>IFERROR(K81/J81,0)</x:f>
        <x:v>0.41935483870967744</x:v>
      </x:c>
      <x:c r="R81" s="30" t="n">
        <x:f>IFERROR(L81/K81,0)</x:f>
        <x:v>0.38461538461538464</x:v>
      </x:c>
      <x:c r="S81" s="28" t="n">
        <x:f>IFERROR(N81/J81,0)</x:f>
        <x:v>1931.943870967742</x:v>
      </x:c>
      <x:c r="T81" s="28" t="n">
        <x:f>IFERROR(N81/K81,0)</x:f>
        <x:v>4606.943076923077</x:v>
      </x:c>
      <x:c r="U81" s="28" t="n">
        <x:f>IFERROR(N81/L81,0)</x:f>
        <x:v>11978.052</x:v>
      </x:c>
    </x:row>
    <x:row r="82">
      <x:c r="A82" t="n">
        <x:v>81</x:v>
      </x:c>
      <x:c r="B82" s="26" t="n">
        <x:v>46043</x:v>
      </x:c>
      <x:c r="C82" t="str">
        <x:v>CPO_Premium</x:v>
      </x:c>
      <x:c r="D82" t="str">
        <x:v>Google Ads</x:v>
      </x:c>
      <x:c r="E82" t="str">
        <x:v>Jovem Profissional</x:v>
      </x:c>
      <x:c r="F82" t="str">
        <x:v>Malanje</x:v>
      </x:c>
      <x:c r="G82" t="str">
        <x:v>Desktop</x:v>
      </x:c>
      <x:c r="H82" t="n">
        <x:v>3126</x:v>
      </x:c>
      <x:c r="I82" t="n">
        <x:v>102</x:v>
      </x:c>
      <x:c r="J82" t="n">
        <x:v>21</x:v>
      </x:c>
      <x:c r="K82" t="n">
        <x:v>13</x:v>
      </x:c>
      <x:c r="L82" t="n">
        <x:v>9</x:v>
      </x:c>
      <x:c r="M82" s="28" t="n">
        <x:v>14200892.45</x:v>
      </x:c>
      <x:c r="N82" s="28" t="n">
        <x:v>14380.54</x:v>
      </x:c>
      <x:c r="O82" s="30" t="n">
        <x:f>IFERROR(I82/H82,0)</x:f>
        <x:v>0.03262955854126679</x:v>
      </x:c>
      <x:c r="P82" s="30" t="n">
        <x:f>IFERROR(J82/I82,0)</x:f>
        <x:v>0.20588235294117646</x:v>
      </x:c>
      <x:c r="Q82" s="30" t="n">
        <x:f>IFERROR(K82/J82,0)</x:f>
        <x:v>0.6190476190476191</x:v>
      </x:c>
      <x:c r="R82" s="30" t="n">
        <x:f>IFERROR(L82/K82,0)</x:f>
        <x:v>0.6923076923076923</x:v>
      </x:c>
      <x:c r="S82" s="28" t="n">
        <x:f>IFERROR(N82/J82,0)</x:f>
        <x:v>684.787619047619</x:v>
      </x:c>
      <x:c r="T82" s="28" t="n">
        <x:f>IFERROR(N82/K82,0)</x:f>
        <x:v>1106.1953846153847</x:v>
      </x:c>
      <x:c r="U82" s="28" t="n">
        <x:f>IFERROR(N82/L82,0)</x:f>
        <x:v>1597.8377777777778</x:v>
      </x:c>
    </x:row>
    <x:row r="83">
      <x:c r="A83" t="n">
        <x:v>82</x:v>
      </x:c>
      <x:c r="B83" s="26" t="n">
        <x:v>46043</x:v>
      </x:c>
      <x:c r="C83" t="str">
        <x:v>CPO_Premium</x:v>
      </x:c>
      <x:c r="D83" t="str">
        <x:v>BAI Directo/App</x:v>
      </x:c>
      <x:c r="E83" t="str">
        <x:v>Assalariado</x:v>
      </x:c>
      <x:c r="F83" t="str">
        <x:v>Luanda</x:v>
      </x:c>
      <x:c r="G83" t="str">
        <x:v>Android</x:v>
      </x:c>
      <x:c r="H83" t="n">
        <x:v>7130</x:v>
      </x:c>
      <x:c r="I83" t="n">
        <x:v>952</x:v>
      </x:c>
      <x:c r="J83" t="n">
        <x:v>220</x:v>
      </x:c>
      <x:c r="K83" t="n">
        <x:v>158</x:v>
      </x:c>
      <x:c r="L83" t="n">
        <x:v>103</x:v>
      </x:c>
      <x:c r="M83" s="28" t="n">
        <x:v>211069527.42</x:v>
      </x:c>
      <x:c r="N83" s="28" t="n">
        <x:v>67683.08</x:v>
      </x:c>
      <x:c r="O83" s="30" t="n">
        <x:f>IFERROR(I83/H83,0)</x:f>
        <x:v>0.1335203366058906</x:v>
      </x:c>
      <x:c r="P83" s="30" t="n">
        <x:f>IFERROR(J83/I83,0)</x:f>
        <x:v>0.23109243697478993</x:v>
      </x:c>
      <x:c r="Q83" s="30" t="n">
        <x:f>IFERROR(K83/J83,0)</x:f>
        <x:v>0.7181818181818181</x:v>
      </x:c>
      <x:c r="R83" s="30" t="n">
        <x:f>IFERROR(L83/K83,0)</x:f>
        <x:v>0.6518987341772152</x:v>
      </x:c>
      <x:c r="S83" s="28" t="n">
        <x:f>IFERROR(N83/J83,0)</x:f>
        <x:v>307.65036363636364</x:v>
      </x:c>
      <x:c r="T83" s="28" t="n">
        <x:f>IFERROR(N83/K83,0)</x:f>
        <x:v>428.3739240506329</x:v>
      </x:c>
      <x:c r="U83" s="28" t="n">
        <x:f>IFERROR(N83/L83,0)</x:f>
        <x:v>657.1172815533981</x:v>
      </x:c>
    </x:row>
    <x:row r="84">
      <x:c r="A84" t="n">
        <x:v>83</x:v>
      </x:c>
      <x:c r="B84" s="26" t="n">
        <x:v>46043</x:v>
      </x:c>
      <x:c r="C84" t="str">
        <x:v>CPO_Always_On</x:v>
      </x:c>
      <x:c r="D84" t="str">
        <x:v>BAI Directo/App</x:v>
      </x:c>
      <x:c r="E84" t="str">
        <x:v>Jovem Profissional</x:v>
      </x:c>
      <x:c r="F84" t="str">
        <x:v>Benguela</x:v>
      </x:c>
      <x:c r="G84" t="str">
        <x:v>iOS</x:v>
      </x:c>
      <x:c r="H84" t="n">
        <x:v>7205</x:v>
      </x:c>
      <x:c r="I84" t="n">
        <x:v>987</x:v>
      </x:c>
      <x:c r="J84" t="n">
        <x:v>263</x:v>
      </x:c>
      <x:c r="K84" t="n">
        <x:v>162</x:v>
      </x:c>
      <x:c r="L84" t="n">
        <x:v>80</x:v>
      </x:c>
      <x:c r="M84" s="28" t="n">
        <x:v>105482610.2</x:v>
      </x:c>
      <x:c r="N84" s="28" t="n">
        <x:v>84851.92</x:v>
      </x:c>
      <x:c r="O84" s="30" t="n">
        <x:f>IFERROR(I84/H84,0)</x:f>
        <x:v>0.1369882026370576</x:v>
      </x:c>
      <x:c r="P84" s="30" t="n">
        <x:f>IFERROR(J84/I84,0)</x:f>
        <x:v>0.26646403242147926</x:v>
      </x:c>
      <x:c r="Q84" s="30" t="n">
        <x:f>IFERROR(K84/J84,0)</x:f>
        <x:v>0.6159695817490495</x:v>
      </x:c>
      <x:c r="R84" s="30" t="n">
        <x:f>IFERROR(L84/K84,0)</x:f>
        <x:v>0.49382716049382713</x:v>
      </x:c>
      <x:c r="S84" s="28" t="n">
        <x:f>IFERROR(N84/J84,0)</x:f>
        <x:v>322.63087452471484</x:v>
      </x:c>
      <x:c r="T84" s="28" t="n">
        <x:f>IFERROR(N84/K84,0)</x:f>
        <x:v>523.7772839506173</x:v>
      </x:c>
      <x:c r="U84" s="28" t="n">
        <x:f>IFERROR(N84/L84,0)</x:f>
        <x:v>1060.649</x:v>
      </x:c>
    </x:row>
    <x:row r="85">
      <x:c r="A85" t="n">
        <x:v>84</x:v>
      </x:c>
      <x:c r="B85" s="26" t="n">
        <x:v>46044</x:v>
      </x:c>
      <x:c r="C85" t="str">
        <x:v>CPO_Acesso_Rapido</x:v>
      </x:c>
      <x:c r="D85" t="str">
        <x:v>Google Ads</x:v>
      </x:c>
      <x:c r="E85" t="str">
        <x:v>Pequeno Negócio</x:v>
      </x:c>
      <x:c r="F85" t="str">
        <x:v>Luanda</x:v>
      </x:c>
      <x:c r="G85" t="str">
        <x:v>iOS</x:v>
      </x:c>
      <x:c r="H85" t="n">
        <x:v>15194</x:v>
      </x:c>
      <x:c r="I85" t="n">
        <x:v>393</x:v>
      </x:c>
      <x:c r="J85" t="n">
        <x:v>50</x:v>
      </x:c>
      <x:c r="K85" t="n">
        <x:v>19</x:v>
      </x:c>
      <x:c r="L85" t="n">
        <x:v>12</x:v>
      </x:c>
      <x:c r="M85" s="28" t="n">
        <x:v>37531204.89</x:v>
      </x:c>
      <x:c r="N85" s="28" t="n">
        <x:v>65727.6</x:v>
      </x:c>
      <x:c r="O85" s="30" t="n">
        <x:f>IFERROR(I85/H85,0)</x:f>
        <x:v>0.02586547321311044</x:v>
      </x:c>
      <x:c r="P85" s="30" t="n">
        <x:f>IFERROR(J85/I85,0)</x:f>
        <x:v>0.1272264631043257</x:v>
      </x:c>
      <x:c r="Q85" s="30" t="n">
        <x:f>IFERROR(K85/J85,0)</x:f>
        <x:v>0.38</x:v>
      </x:c>
      <x:c r="R85" s="30" t="n">
        <x:f>IFERROR(L85/K85,0)</x:f>
        <x:v>0.631578947368421</x:v>
      </x:c>
      <x:c r="S85" s="28" t="n">
        <x:f>IFERROR(N85/J85,0)</x:f>
        <x:v>1314.5520000000001</x:v>
      </x:c>
      <x:c r="T85" s="28" t="n">
        <x:f>IFERROR(N85/K85,0)</x:f>
        <x:v>3459.347368421053</x:v>
      </x:c>
      <x:c r="U85" s="28" t="n">
        <x:f>IFERROR(N85/L85,0)</x:f>
        <x:v>5477.3</x:v>
      </x:c>
    </x:row>
    <x:row r="86">
      <x:c r="A86" t="n">
        <x:v>85</x:v>
      </x:c>
      <x:c r="B86" s="26" t="n">
        <x:v>46044</x:v>
      </x:c>
      <x:c r="C86" t="str">
        <x:v>CPO_Always_On</x:v>
      </x:c>
      <x:c r="D86" t="str">
        <x:v>E-mail</x:v>
      </x:c>
      <x:c r="E86" t="str">
        <x:v>Premium</x:v>
      </x:c>
      <x:c r="F86" t="str">
        <x:v>Huambo</x:v>
      </x:c>
      <x:c r="G86" t="str">
        <x:v>Desktop</x:v>
      </x:c>
      <x:c r="H86" t="n">
        <x:v>4460</x:v>
      </x:c>
      <x:c r="I86" t="n">
        <x:v>268</x:v>
      </x:c>
      <x:c r="J86" t="n">
        <x:v>33</x:v>
      </x:c>
      <x:c r="K86" t="n">
        <x:v>24</x:v>
      </x:c>
      <x:c r="L86" t="n">
        <x:v>20</x:v>
      </x:c>
      <x:c r="M86" s="28" t="n">
        <x:v>84039925.86</x:v>
      </x:c>
      <x:c r="N86" s="28" t="n">
        <x:v>23102.36</x:v>
      </x:c>
      <x:c r="O86" s="30" t="n">
        <x:f>IFERROR(I86/H86,0)</x:f>
        <x:v>0.060089686098654706</x:v>
      </x:c>
      <x:c r="P86" s="30" t="n">
        <x:f>IFERROR(J86/I86,0)</x:f>
        <x:v>0.12313432835820895</x:v>
      </x:c>
      <x:c r="Q86" s="30" t="n">
        <x:f>IFERROR(K86/J86,0)</x:f>
        <x:v>0.7272727272727273</x:v>
      </x:c>
      <x:c r="R86" s="30" t="n">
        <x:f>IFERROR(L86/K86,0)</x:f>
        <x:v>0.8333333333333334</x:v>
      </x:c>
      <x:c r="S86" s="28" t="n">
        <x:f>IFERROR(N86/J86,0)</x:f>
        <x:v>700.0715151515152</x:v>
      </x:c>
      <x:c r="T86" s="28" t="n">
        <x:f>IFERROR(N86/K86,0)</x:f>
        <x:v>962.5983333333334</x:v>
      </x:c>
      <x:c r="U86" s="28" t="n">
        <x:f>IFERROR(N86/L86,0)</x:f>
        <x:v>1155.118</x:v>
      </x:c>
    </x:row>
    <x:row r="87">
      <x:c r="A87" t="n">
        <x:v>86</x:v>
      </x:c>
      <x:c r="B87" s="26" t="n">
        <x:v>46044</x:v>
      </x:c>
      <x:c r="C87" t="str">
        <x:v>CPO_Salario</x:v>
      </x:c>
      <x:c r="D87" t="str">
        <x:v>BAI Directo/App</x:v>
      </x:c>
      <x:c r="E87" t="str">
        <x:v>Assalariado</x:v>
      </x:c>
      <x:c r="F87" t="str">
        <x:v>Luanda</x:v>
      </x:c>
      <x:c r="G87" t="str">
        <x:v>iOS</x:v>
      </x:c>
      <x:c r="H87" t="n">
        <x:v>5595</x:v>
      </x:c>
      <x:c r="I87" t="n">
        <x:v>584</x:v>
      </x:c>
      <x:c r="J87" t="n">
        <x:v>111</x:v>
      </x:c>
      <x:c r="K87" t="n">
        <x:v>88</x:v>
      </x:c>
      <x:c r="L87" t="n">
        <x:v>64</x:v>
      </x:c>
      <x:c r="M87" s="28" t="n">
        <x:v>139973511.62</x:v>
      </x:c>
      <x:c r="N87" s="28" t="n">
        <x:v>30160.17</x:v>
      </x:c>
      <x:c r="O87" s="30" t="n">
        <x:f>IFERROR(I87/H87,0)</x:f>
        <x:v>0.10437890974084003</x:v>
      </x:c>
      <x:c r="P87" s="30" t="n">
        <x:f>IFERROR(J87/I87,0)</x:f>
        <x:v>0.19006849315068494</x:v>
      </x:c>
      <x:c r="Q87" s="30" t="n">
        <x:f>IFERROR(K87/J87,0)</x:f>
        <x:v>0.7927927927927928</x:v>
      </x:c>
      <x:c r="R87" s="30" t="n">
        <x:f>IFERROR(L87/K87,0)</x:f>
        <x:v>0.7272727272727273</x:v>
      </x:c>
      <x:c r="S87" s="28" t="n">
        <x:f>IFERROR(N87/J87,0)</x:f>
        <x:v>271.71324324324326</x:v>
      </x:c>
      <x:c r="T87" s="28" t="n">
        <x:f>IFERROR(N87/K87,0)</x:f>
        <x:v>342.72920454545454</x:v>
      </x:c>
      <x:c r="U87" s="28" t="n">
        <x:f>IFERROR(N87/L87,0)</x:f>
        <x:v>471.25265625</x:v>
      </x:c>
    </x:row>
    <x:row r="88">
      <x:c r="A88" t="n">
        <x:v>87</x:v>
      </x:c>
      <x:c r="B88" s="26" t="n">
        <x:v>46044</x:v>
      </x:c>
      <x:c r="C88" t="str">
        <x:v>CPO_Salario</x:v>
      </x:c>
      <x:c r="D88" t="str">
        <x:v>E-mail</x:v>
      </x:c>
      <x:c r="E88" t="str">
        <x:v>Pequeno Negócio</x:v>
      </x:c>
      <x:c r="F88" t="str">
        <x:v>Luanda</x:v>
      </x:c>
      <x:c r="G88" t="str">
        <x:v>Android</x:v>
      </x:c>
      <x:c r="H88" t="n">
        <x:v>11768</x:v>
      </x:c>
      <x:c r="I88" t="n">
        <x:v>581</x:v>
      </x:c>
      <x:c r="J88" t="n">
        <x:v>67</x:v>
      </x:c>
      <x:c r="K88" t="n">
        <x:v>31</x:v>
      </x:c>
      <x:c r="L88" t="n">
        <x:v>20</x:v>
      </x:c>
      <x:c r="M88" s="28" t="n">
        <x:v>56003607.66</x:v>
      </x:c>
      <x:c r="N88" s="28" t="n">
        <x:v>101491.59</x:v>
      </x:c>
      <x:c r="O88" s="30" t="n">
        <x:f>IFERROR(I88/H88,0)</x:f>
        <x:v>0.049371176070700205</x:v>
      </x:c>
      <x:c r="P88" s="30" t="n">
        <x:f>IFERROR(J88/I88,0)</x:f>
        <x:v>0.1153184165232358</x:v>
      </x:c>
      <x:c r="Q88" s="30" t="n">
        <x:f>IFERROR(K88/J88,0)</x:f>
        <x:v>0.4626865671641791</x:v>
      </x:c>
      <x:c r="R88" s="30" t="n">
        <x:f>IFERROR(L88/K88,0)</x:f>
        <x:v>0.6451612903225806</x:v>
      </x:c>
      <x:c r="S88" s="28" t="n">
        <x:f>IFERROR(N88/J88,0)</x:f>
        <x:v>1514.7998507462687</x:v>
      </x:c>
      <x:c r="T88" s="28" t="n">
        <x:f>IFERROR(N88/K88,0)</x:f>
        <x:v>3273.922258064516</x:v>
      </x:c>
      <x:c r="U88" s="28" t="n">
        <x:f>IFERROR(N88/L88,0)</x:f>
        <x:v>5074.5795</x:v>
      </x:c>
    </x:row>
    <x:row r="89">
      <x:c r="A89" t="n">
        <x:v>88</x:v>
      </x:c>
      <x:c r="B89" s="26" t="n">
        <x:v>46044</x:v>
      </x:c>
      <x:c r="C89" t="str">
        <x:v>CPO_Always_On</x:v>
      </x:c>
      <x:c r="D89" t="str">
        <x:v>E-mail</x:v>
      </x:c>
      <x:c r="E89" t="str">
        <x:v>Funcionário Público</x:v>
      </x:c>
      <x:c r="F89" t="str">
        <x:v>Benguela</x:v>
      </x:c>
      <x:c r="G89" t="str">
        <x:v>Android</x:v>
      </x:c>
      <x:c r="H89" t="n">
        <x:v>4054</x:v>
      </x:c>
      <x:c r="I89" t="n">
        <x:v>214</x:v>
      </x:c>
      <x:c r="J89" t="n">
        <x:v>23</x:v>
      </x:c>
      <x:c r="K89" t="n">
        <x:v>20</x:v>
      </x:c>
      <x:c r="L89" t="n">
        <x:v>17</x:v>
      </x:c>
      <x:c r="M89" s="28" t="n">
        <x:v>30329630.39</x:v>
      </x:c>
      <x:c r="N89" s="28" t="n">
        <x:v>14465.87</x:v>
      </x:c>
      <x:c r="O89" s="30" t="n">
        <x:f>IFERROR(I89/H89,0)</x:f>
        <x:v>0.05278737049827331</x:v>
      </x:c>
      <x:c r="P89" s="30" t="n">
        <x:f>IFERROR(J89/I89,0)</x:f>
        <x:v>0.10747663551401869</x:v>
      </x:c>
      <x:c r="Q89" s="30" t="n">
        <x:f>IFERROR(K89/J89,0)</x:f>
        <x:v>0.8695652173913043</x:v>
      </x:c>
      <x:c r="R89" s="30" t="n">
        <x:f>IFERROR(L89/K89,0)</x:f>
        <x:v>0.85</x:v>
      </x:c>
      <x:c r="S89" s="28" t="n">
        <x:f>IFERROR(N89/J89,0)</x:f>
        <x:v>628.9508695652174</x:v>
      </x:c>
      <x:c r="T89" s="28" t="n">
        <x:f>IFERROR(N89/K89,0)</x:f>
        <x:v>723.2935</x:v>
      </x:c>
      <x:c r="U89" s="28" t="n">
        <x:f>IFERROR(N89/L89,0)</x:f>
        <x:v>850.9335294117648</x:v>
      </x:c>
    </x:row>
    <x:row r="90">
      <x:c r="A90" t="n">
        <x:v>89</x:v>
      </x:c>
      <x:c r="B90" s="26" t="n">
        <x:v>46045</x:v>
      </x:c>
      <x:c r="C90" t="str">
        <x:v>CPO_Fim_do_Mes</x:v>
      </x:c>
      <x:c r="D90" t="str">
        <x:v>Meta Ads</x:v>
      </x:c>
      <x:c r="E90" t="str">
        <x:v>Jovem Profissional</x:v>
      </x:c>
      <x:c r="F90" t="str">
        <x:v>Cabinda</x:v>
      </x:c>
      <x:c r="G90" t="str">
        <x:v>Android</x:v>
      </x:c>
      <x:c r="H90" t="n">
        <x:v>9959</x:v>
      </x:c>
      <x:c r="I90" t="n">
        <x:v>199</x:v>
      </x:c>
      <x:c r="J90" t="n">
        <x:v>25</x:v>
      </x:c>
      <x:c r="K90" t="n">
        <x:v>13</x:v>
      </x:c>
      <x:c r="L90" t="n">
        <x:v>6</x:v>
      </x:c>
      <x:c r="M90" s="28" t="n">
        <x:v>8174407.39</x:v>
      </x:c>
      <x:c r="N90" s="28" t="n">
        <x:v>30479.42</x:v>
      </x:c>
      <x:c r="O90" s="30" t="n">
        <x:f>IFERROR(I90/H90,0)</x:f>
        <x:v>0.019981925896174316</x:v>
      </x:c>
      <x:c r="P90" s="30" t="n">
        <x:f>IFERROR(J90/I90,0)</x:f>
        <x:v>0.12562814070351758</x:v>
      </x:c>
      <x:c r="Q90" s="30" t="n">
        <x:f>IFERROR(K90/J90,0)</x:f>
        <x:v>0.52</x:v>
      </x:c>
      <x:c r="R90" s="30" t="n">
        <x:f>IFERROR(L90/K90,0)</x:f>
        <x:v>0.46153846153846156</x:v>
      </x:c>
      <x:c r="S90" s="28" t="n">
        <x:f>IFERROR(N90/J90,0)</x:f>
        <x:v>1219.1768</x:v>
      </x:c>
      <x:c r="T90" s="28" t="n">
        <x:f>IFERROR(N90/K90,0)</x:f>
        <x:v>2344.570769230769</x:v>
      </x:c>
      <x:c r="U90" s="28" t="n">
        <x:f>IFERROR(N90/L90,0)</x:f>
        <x:v>5079.903333333333</x:v>
      </x:c>
    </x:row>
    <x:row r="91">
      <x:c r="A91" t="n">
        <x:v>90</x:v>
      </x:c>
      <x:c r="B91" s="26" t="n">
        <x:v>46045</x:v>
      </x:c>
      <x:c r="C91" t="str">
        <x:v>CPO_Digital_360</x:v>
      </x:c>
      <x:c r="D91" t="str">
        <x:v>Meta Ads</x:v>
      </x:c>
      <x:c r="E91" t="str">
        <x:v>Assalariado</x:v>
      </x:c>
      <x:c r="F91" t="str">
        <x:v>Luanda</x:v>
      </x:c>
      <x:c r="G91" t="str">
        <x:v>Android</x:v>
      </x:c>
      <x:c r="H91" t="n">
        <x:v>24974</x:v>
      </x:c>
      <x:c r="I91" t="n">
        <x:v>437</x:v>
      </x:c>
      <x:c r="J91" t="n">
        <x:v>47</x:v>
      </x:c>
      <x:c r="K91" t="n">
        <x:v>33</x:v>
      </x:c>
      <x:c r="L91" t="n">
        <x:v>22</x:v>
      </x:c>
      <x:c r="M91" s="28" t="n">
        <x:v>42840011.14</x:v>
      </x:c>
      <x:c r="N91" s="28" t="n">
        <x:v>79670.35</x:v>
      </x:c>
      <x:c r="O91" s="30" t="n">
        <x:f>IFERROR(I91/H91,0)</x:f>
        <x:v>0.017498198126051093</x:v>
      </x:c>
      <x:c r="P91" s="30" t="n">
        <x:f>IFERROR(J91/I91,0)</x:f>
        <x:v>0.10755148741418764</x:v>
      </x:c>
      <x:c r="Q91" s="30" t="n">
        <x:f>IFERROR(K91/J91,0)</x:f>
        <x:v>0.7021276595744681</x:v>
      </x:c>
      <x:c r="R91" s="30" t="n">
        <x:f>IFERROR(L91/K91,0)</x:f>
        <x:v>0.6666666666666666</x:v>
      </x:c>
      <x:c r="S91" s="28" t="n">
        <x:f>IFERROR(N91/J91,0)</x:f>
        <x:v>1695.1138297872342</x:v>
      </x:c>
      <x:c r="T91" s="28" t="n">
        <x:f>IFERROR(N91/K91,0)</x:f>
        <x:v>2414.2530303030303</x:v>
      </x:c>
      <x:c r="U91" s="28" t="n">
        <x:f>IFERROR(N91/L91,0)</x:f>
        <x:v>3621.3795454545457</x:v>
      </x:c>
    </x:row>
    <x:row r="92">
      <x:c r="A92" t="n">
        <x:v>91</x:v>
      </x:c>
      <x:c r="B92" s="26" t="n">
        <x:v>46045</x:v>
      </x:c>
      <x:c r="C92" t="str">
        <x:v>CPO_Digital_360</x:v>
      </x:c>
      <x:c r="D92" t="str">
        <x:v>TikTok Ads</x:v>
      </x:c>
      <x:c r="E92" t="str">
        <x:v>Jovem Profissional</x:v>
      </x:c>
      <x:c r="F92" t="str">
        <x:v>Huambo</x:v>
      </x:c>
      <x:c r="G92" t="str">
        <x:v>Desktop</x:v>
      </x:c>
      <x:c r="H92" t="n">
        <x:v>9438</x:v>
      </x:c>
      <x:c r="I92" t="n">
        <x:v>120</x:v>
      </x:c>
      <x:c r="J92" t="n">
        <x:v>7</x:v>
      </x:c>
      <x:c r="K92" t="n">
        <x:v>4</x:v>
      </x:c>
      <x:c r="L92" t="n">
        <x:v>2</x:v>
      </x:c>
      <x:c r="M92" s="28" t="n">
        <x:v>2724654.11</x:v>
      </x:c>
      <x:c r="N92" s="28" t="n">
        <x:v>8781.28</x:v>
      </x:c>
      <x:c r="O92" s="30" t="n">
        <x:f>IFERROR(I92/H92,0)</x:f>
        <x:v>0.012714558169103624</x:v>
      </x:c>
      <x:c r="P92" s="30" t="n">
        <x:f>IFERROR(J92/I92,0)</x:f>
        <x:v>0.058333333333333334</x:v>
      </x:c>
      <x:c r="Q92" s="30" t="n">
        <x:f>IFERROR(K92/J92,0)</x:f>
        <x:v>0.5714285714285714</x:v>
      </x:c>
      <x:c r="R92" s="30" t="n">
        <x:f>IFERROR(L92/K92,0)</x:f>
        <x:v>0.5</x:v>
      </x:c>
      <x:c r="S92" s="28" t="n">
        <x:f>IFERROR(N92/J92,0)</x:f>
        <x:v>1254.4685714285715</x:v>
      </x:c>
      <x:c r="T92" s="28" t="n">
        <x:f>IFERROR(N92/K92,0)</x:f>
        <x:v>2195.32</x:v>
      </x:c>
      <x:c r="U92" s="28" t="n">
        <x:f>IFERROR(N92/L92,0)</x:f>
        <x:v>4390.64</x:v>
      </x:c>
    </x:row>
    <x:row r="93">
      <x:c r="A93" t="n">
        <x:v>92</x:v>
      </x:c>
      <x:c r="B93" s="26" t="n">
        <x:v>46046</x:v>
      </x:c>
      <x:c r="C93" t="str">
        <x:v>CPO_Fim_do_Mes</x:v>
      </x:c>
      <x:c r="D93" t="str">
        <x:v>BAI Directo/App</x:v>
      </x:c>
      <x:c r="E93" t="str">
        <x:v>Pequeno Negócio</x:v>
      </x:c>
      <x:c r="F93" t="str">
        <x:v>Cuanza Sul</x:v>
      </x:c>
      <x:c r="G93" t="str">
        <x:v>Desktop</x:v>
      </x:c>
      <x:c r="H93" t="n">
        <x:v>8457</x:v>
      </x:c>
      <x:c r="I93" t="n">
        <x:v>1312</x:v>
      </x:c>
      <x:c r="J93" t="n">
        <x:v>264</x:v>
      </x:c>
      <x:c r="K93" t="n">
        <x:v>110</x:v>
      </x:c>
      <x:c r="L93" t="n">
        <x:v>50</x:v>
      </x:c>
      <x:c r="M93" s="28" t="n">
        <x:v>144994453.58</x:v>
      </x:c>
      <x:c r="N93" s="28" t="n">
        <x:v>93831.74</x:v>
      </x:c>
      <x:c r="O93" s="30" t="n">
        <x:f>IFERROR(I93/H93,0)</x:f>
        <x:v>0.15513775570533286</x:v>
      </x:c>
      <x:c r="P93" s="30" t="n">
        <x:f>IFERROR(J93/I93,0)</x:f>
        <x:v>0.20121951219512196</x:v>
      </x:c>
      <x:c r="Q93" s="30" t="n">
        <x:f>IFERROR(K93/J93,0)</x:f>
        <x:v>0.4166666666666667</x:v>
      </x:c>
      <x:c r="R93" s="30" t="n">
        <x:f>IFERROR(L93/K93,0)</x:f>
        <x:v>0.45454545454545453</x:v>
      </x:c>
      <x:c r="S93" s="28" t="n">
        <x:f>IFERROR(N93/J93,0)</x:f>
        <x:v>355.4232575757576</x:v>
      </x:c>
      <x:c r="T93" s="28" t="n">
        <x:f>IFERROR(N93/K93,0)</x:f>
        <x:v>853.0158181818182</x:v>
      </x:c>
      <x:c r="U93" s="28" t="n">
        <x:f>IFERROR(N93/L93,0)</x:f>
        <x:v>1876.6348</x:v>
      </x:c>
    </x:row>
    <x:row r="94">
      <x:c r="A94" t="n">
        <x:v>93</x:v>
      </x:c>
      <x:c r="B94" s="26" t="n">
        <x:v>46046</x:v>
      </x:c>
      <x:c r="C94" t="str">
        <x:v>CPO_Fim_do_Mes</x:v>
      </x:c>
      <x:c r="D94" t="str">
        <x:v>BAI Directo/App</x:v>
      </x:c>
      <x:c r="E94" t="str">
        <x:v>Jovem Profissional</x:v>
      </x:c>
      <x:c r="F94" t="str">
        <x:v>Luanda</x:v>
      </x:c>
      <x:c r="G94" t="str">
        <x:v>Android</x:v>
      </x:c>
      <x:c r="H94" t="n">
        <x:v>5667</x:v>
      </x:c>
      <x:c r="I94" t="n">
        <x:v>913</x:v>
      </x:c>
      <x:c r="J94" t="n">
        <x:v>219</x:v>
      </x:c>
      <x:c r="K94" t="n">
        <x:v>132</x:v>
      </x:c>
      <x:c r="L94" t="n">
        <x:v>85</x:v>
      </x:c>
      <x:c r="M94" s="28" t="n">
        <x:v>108253706.42</x:v>
      </x:c>
      <x:c r="N94" s="28" t="n">
        <x:v>68558.73</x:v>
      </x:c>
      <x:c r="O94" s="30" t="n">
        <x:f>IFERROR(I94/H94,0)</x:f>
        <x:v>0.16110817010764072</x:v>
      </x:c>
      <x:c r="P94" s="30" t="n">
        <x:f>IFERROR(J94/I94,0)</x:f>
        <x:v>0.23986856516976998</x:v>
      </x:c>
      <x:c r="Q94" s="30" t="n">
        <x:f>IFERROR(K94/J94,0)</x:f>
        <x:v>0.6027397260273972</x:v>
      </x:c>
      <x:c r="R94" s="30" t="n">
        <x:f>IFERROR(L94/K94,0)</x:f>
        <x:v>0.6439393939393939</x:v>
      </x:c>
      <x:c r="S94" s="28" t="n">
        <x:f>IFERROR(N94/J94,0)</x:f>
        <x:v>313.0535616438356</x:v>
      </x:c>
      <x:c r="T94" s="28" t="n">
        <x:f>IFERROR(N94/K94,0)</x:f>
        <x:v>519.3843181818181</x:v>
      </x:c>
      <x:c r="U94" s="28" t="n">
        <x:f>IFERROR(N94/L94,0)</x:f>
        <x:v>806.573294117647</x:v>
      </x:c>
    </x:row>
    <x:row r="95">
      <x:c r="A95" t="n">
        <x:v>94</x:v>
      </x:c>
      <x:c r="B95" s="26" t="n">
        <x:v>46046</x:v>
      </x:c>
      <x:c r="C95" t="str">
        <x:v>CPO_Fim_do_Mes</x:v>
      </x:c>
      <x:c r="D95" t="str">
        <x:v>SMS</x:v>
      </x:c>
      <x:c r="E95" t="str">
        <x:v>Funcionário Público</x:v>
      </x:c>
      <x:c r="F95" t="str">
        <x:v>Luanda</x:v>
      </x:c>
      <x:c r="G95" t="str">
        <x:v>iOS</x:v>
      </x:c>
      <x:c r="H95" t="n">
        <x:v>3238</x:v>
      </x:c>
      <x:c r="I95" t="n">
        <x:v>306</x:v>
      </x:c>
      <x:c r="J95" t="n">
        <x:v>27</x:v>
      </x:c>
      <x:c r="K95" t="n">
        <x:v>20</x:v>
      </x:c>
      <x:c r="L95" t="n">
        <x:v>16</x:v>
      </x:c>
      <x:c r="M95" s="28" t="n">
        <x:v>29722325.57</x:v>
      </x:c>
      <x:c r="N95" s="28" t="n">
        <x:v>11610.01</x:v>
      </x:c>
      <x:c r="O95" s="30" t="n">
        <x:f>IFERROR(I95/H95,0)</x:f>
        <x:v>0.09450277949351452</x:v>
      </x:c>
      <x:c r="P95" s="30" t="n">
        <x:f>IFERROR(J95/I95,0)</x:f>
        <x:v>0.08823529411764706</x:v>
      </x:c>
      <x:c r="Q95" s="30" t="n">
        <x:f>IFERROR(K95/J95,0)</x:f>
        <x:v>0.7407407407407407</x:v>
      </x:c>
      <x:c r="R95" s="30" t="n">
        <x:f>IFERROR(L95/K95,0)</x:f>
        <x:v>0.8</x:v>
      </x:c>
      <x:c r="S95" s="28" t="n">
        <x:f>IFERROR(N95/J95,0)</x:f>
        <x:v>430.0003703703704</x:v>
      </x:c>
      <x:c r="T95" s="28" t="n">
        <x:f>IFERROR(N95/K95,0)</x:f>
        <x:v>580.5005</x:v>
      </x:c>
      <x:c r="U95" s="28" t="n">
        <x:f>IFERROR(N95/L95,0)</x:f>
        <x:v>725.625625</x:v>
      </x:c>
    </x:row>
    <x:row r="96">
      <x:c r="A96" t="n">
        <x:v>95</x:v>
      </x:c>
      <x:c r="B96" s="26" t="n">
        <x:v>46047</x:v>
      </x:c>
      <x:c r="C96" t="str">
        <x:v>CPO_Fim_do_Mes</x:v>
      </x:c>
      <x:c r="D96" t="str">
        <x:v>E-mail</x:v>
      </x:c>
      <x:c r="E96" t="str">
        <x:v>Assalariado</x:v>
      </x:c>
      <x:c r="F96" t="str">
        <x:v>Luanda</x:v>
      </x:c>
      <x:c r="G96" t="str">
        <x:v>iOS</x:v>
      </x:c>
      <x:c r="H96" t="n">
        <x:v>9735</x:v>
      </x:c>
      <x:c r="I96" t="n">
        <x:v>653</x:v>
      </x:c>
      <x:c r="J96" t="n">
        <x:v>43</x:v>
      </x:c>
      <x:c r="K96" t="n">
        <x:v>30</x:v>
      </x:c>
      <x:c r="L96" t="n">
        <x:v>16</x:v>
      </x:c>
      <x:c r="M96" s="28" t="n">
        <x:v>33913614.19</x:v>
      </x:c>
      <x:c r="N96" s="28" t="n">
        <x:v>154648.25</x:v>
      </x:c>
      <x:c r="O96" s="30" t="n">
        <x:f>IFERROR(I96/H96,0)</x:f>
        <x:v>0.06707755521314844</x:v>
      </x:c>
      <x:c r="P96" s="30" t="n">
        <x:f>IFERROR(J96/I96,0)</x:f>
        <x:v>0.06584992343032159</x:v>
      </x:c>
      <x:c r="Q96" s="30" t="n">
        <x:f>IFERROR(K96/J96,0)</x:f>
        <x:v>0.6976744186046512</x:v>
      </x:c>
      <x:c r="R96" s="30" t="n">
        <x:f>IFERROR(L96/K96,0)</x:f>
        <x:v>0.5333333333333333</x:v>
      </x:c>
      <x:c r="S96" s="28" t="n">
        <x:f>IFERROR(N96/J96,0)</x:f>
        <x:v>3596.470930232558</x:v>
      </x:c>
      <x:c r="T96" s="28" t="n">
        <x:f>IFERROR(N96/K96,0)</x:f>
        <x:v>5154.941666666667</x:v>
      </x:c>
      <x:c r="U96" s="28" t="n">
        <x:f>IFERROR(N96/L96,0)</x:f>
        <x:v>9665.515625</x:v>
      </x:c>
    </x:row>
    <x:row r="97">
      <x:c r="A97" t="n">
        <x:v>96</x:v>
      </x:c>
      <x:c r="B97" s="26" t="n">
        <x:v>46047</x:v>
      </x:c>
      <x:c r="C97" t="str">
        <x:v>CPO_Salario</x:v>
      </x:c>
      <x:c r="D97" t="str">
        <x:v>TikTok Ads</x:v>
      </x:c>
      <x:c r="E97" t="str">
        <x:v>Pequeno Negócio</x:v>
      </x:c>
      <x:c r="F97" t="str">
        <x:v>Uíge</x:v>
      </x:c>
      <x:c r="G97" t="str">
        <x:v>Android</x:v>
      </x:c>
      <x:c r="H97" t="n">
        <x:v>2679</x:v>
      </x:c>
      <x:c r="I97" t="n">
        <x:v>36</x:v>
      </x:c>
      <x:c r="J97" t="n">
        <x:v>2</x:v>
      </x:c>
      <x:c r="K97" t="n">
        <x:v>1</x:v>
      </x:c>
      <x:c r="L97" t="n">
        <x:v>0</x:v>
      </x:c>
      <x:c r="M97" s="28" t="n">
        <x:v>0</x:v>
      </x:c>
      <x:c r="N97" s="28" t="n">
        <x:v>1657.55</x:v>
      </x:c>
      <x:c r="O97" s="30" t="n">
        <x:f>IFERROR(I97/H97,0)</x:f>
        <x:v>0.013437849944008958</x:v>
      </x:c>
      <x:c r="P97" s="30" t="n">
        <x:f>IFERROR(J97/I97,0)</x:f>
        <x:v>0.05555555555555555</x:v>
      </x:c>
      <x:c r="Q97" s="30" t="n">
        <x:f>IFERROR(K97/J97,0)</x:f>
        <x:v>0.5</x:v>
      </x:c>
      <x:c r="R97" s="30" t="n">
        <x:f>IFERROR(L97/K97,0)</x:f>
        <x:v>0</x:v>
      </x:c>
      <x:c r="S97" s="28" t="n">
        <x:f>IFERROR(N97/J97,0)</x:f>
        <x:v>828.775</x:v>
      </x:c>
      <x:c r="T97" s="28" t="n">
        <x:f>IFERROR(N97/K97,0)</x:f>
        <x:v>1657.55</x:v>
      </x:c>
      <x:c r="U97" s="28" t="n">
        <x:f>IFERROR(N97/L97,0)</x:f>
        <x:v>0</x:v>
      </x:c>
    </x:row>
    <x:row r="98">
      <x:c r="A98" t="n">
        <x:v>97</x:v>
      </x:c>
      <x:c r="B98" s="26" t="n">
        <x:v>46047</x:v>
      </x:c>
      <x:c r="C98" t="str">
        <x:v>CPO_Digital_360</x:v>
      </x:c>
      <x:c r="D98" t="str">
        <x:v>BAI Directo/App</x:v>
      </x:c>
      <x:c r="E98" t="str">
        <x:v>Jovem Profissional</x:v>
      </x:c>
      <x:c r="F98" t="str">
        <x:v>Huambo</x:v>
      </x:c>
      <x:c r="G98" t="str">
        <x:v>Android</x:v>
      </x:c>
      <x:c r="H98" t="n">
        <x:v>2646</x:v>
      </x:c>
      <x:c r="I98" t="n">
        <x:v>343</x:v>
      </x:c>
      <x:c r="J98" t="n">
        <x:v>88</x:v>
      </x:c>
      <x:c r="K98" t="n">
        <x:v>47</x:v>
      </x:c>
      <x:c r="L98" t="n">
        <x:v>35</x:v>
      </x:c>
      <x:c r="M98" s="28" t="n">
        <x:v>43398200.93</x:v>
      </x:c>
      <x:c r="N98" s="28" t="n">
        <x:v>11114.78</x:v>
      </x:c>
      <x:c r="O98" s="30" t="n">
        <x:f>IFERROR(I98/H98,0)</x:f>
        <x:v>0.12962962962962962</x:v>
      </x:c>
      <x:c r="P98" s="30" t="n">
        <x:f>IFERROR(J98/I98,0)</x:f>
        <x:v>0.2565597667638484</x:v>
      </x:c>
      <x:c r="Q98" s="30" t="n">
        <x:f>IFERROR(K98/J98,0)</x:f>
        <x:v>0.5340909090909091</x:v>
      </x:c>
      <x:c r="R98" s="30" t="n">
        <x:f>IFERROR(L98/K98,0)</x:f>
        <x:v>0.7446808510638298</x:v>
      </x:c>
      <x:c r="S98" s="28" t="n">
        <x:f>IFERROR(N98/J98,0)</x:f>
        <x:v>126.30431818181819</x:v>
      </x:c>
      <x:c r="T98" s="28" t="n">
        <x:f>IFERROR(N98/K98,0)</x:f>
        <x:v>236.48468085106384</x:v>
      </x:c>
      <x:c r="U98" s="28" t="n">
        <x:f>IFERROR(N98/L98,0)</x:f>
        <x:v>317.56514285714286</x:v>
      </x:c>
    </x:row>
    <x:row r="99">
      <x:c r="A99" t="n">
        <x:v>98</x:v>
      </x:c>
      <x:c r="B99" s="26" t="n">
        <x:v>46047</x:v>
      </x:c>
      <x:c r="C99" t="str">
        <x:v>CPO_Always_On</x:v>
      </x:c>
      <x:c r="D99" t="str">
        <x:v>Meta Ads</x:v>
      </x:c>
      <x:c r="E99" t="str">
        <x:v>Funcionário Público</x:v>
      </x:c>
      <x:c r="F99" t="str">
        <x:v>Uíge</x:v>
      </x:c>
      <x:c r="G99" t="str">
        <x:v>Android</x:v>
      </x:c>
      <x:c r="H99" t="n">
        <x:v>19572</x:v>
      </x:c>
      <x:c r="I99" t="n">
        <x:v>395</x:v>
      </x:c>
      <x:c r="J99" t="n">
        <x:v>39</x:v>
      </x:c>
      <x:c r="K99" t="n">
        <x:v>34</x:v>
      </x:c>
      <x:c r="L99" t="n">
        <x:v>29</x:v>
      </x:c>
      <x:c r="M99" s="28" t="n">
        <x:v>50480254.83</x:v>
      </x:c>
      <x:c r="N99" s="28" t="n">
        <x:v>37676.64</x:v>
      </x:c>
      <x:c r="O99" s="30" t="n">
        <x:f>IFERROR(I99/H99,0)</x:f>
        <x:v>0.020181892499489065</x:v>
      </x:c>
      <x:c r="P99" s="30" t="n">
        <x:f>IFERROR(J99/I99,0)</x:f>
        <x:v>0.09873417721518987</x:v>
      </x:c>
      <x:c r="Q99" s="30" t="n">
        <x:f>IFERROR(K99/J99,0)</x:f>
        <x:v>0.8717948717948718</x:v>
      </x:c>
      <x:c r="R99" s="30" t="n">
        <x:f>IFERROR(L99/K99,0)</x:f>
        <x:v>0.8529411764705882</x:v>
      </x:c>
      <x:c r="S99" s="28" t="n">
        <x:f>IFERROR(N99/J99,0)</x:f>
        <x:v>966.0676923076923</x:v>
      </x:c>
      <x:c r="T99" s="28" t="n">
        <x:f>IFERROR(N99/K99,0)</x:f>
        <x:v>1108.1364705882352</x:v>
      </x:c>
      <x:c r="U99" s="28" t="n">
        <x:f>IFERROR(N99/L99,0)</x:f>
        <x:v>1299.1944827586208</x:v>
      </x:c>
    </x:row>
    <x:row r="100">
      <x:c r="A100" t="n">
        <x:v>99</x:v>
      </x:c>
      <x:c r="B100" s="26" t="n">
        <x:v>46047</x:v>
      </x:c>
      <x:c r="C100" t="str">
        <x:v>CPO_Premium</x:v>
      </x:c>
      <x:c r="D100" t="str">
        <x:v>TikTok Ads</x:v>
      </x:c>
      <x:c r="E100" t="str">
        <x:v>Jovem Profissional</x:v>
      </x:c>
      <x:c r="F100" t="str">
        <x:v>Huíla</x:v>
      </x:c>
      <x:c r="G100" t="str">
        <x:v>Android</x:v>
      </x:c>
      <x:c r="H100" t="n">
        <x:v>21338</x:v>
      </x:c>
      <x:c r="I100" t="n">
        <x:v>364</x:v>
      </x:c>
      <x:c r="J100" t="n">
        <x:v>29</x:v>
      </x:c>
      <x:c r="K100" t="n">
        <x:v>13</x:v>
      </x:c>
      <x:c r="L100" t="n">
        <x:v>7</x:v>
      </x:c>
      <x:c r="M100" s="28" t="n">
        <x:v>9994760.93</x:v>
      </x:c>
      <x:c r="N100" s="28" t="n">
        <x:v>39749.33</x:v>
      </x:c>
      <x:c r="O100" s="30" t="n">
        <x:f>IFERROR(I100/H100,0)</x:f>
        <x:v>0.017058768394413722</x:v>
      </x:c>
      <x:c r="P100" s="30" t="n">
        <x:f>IFERROR(J100/I100,0)</x:f>
        <x:v>0.07967032967032966</x:v>
      </x:c>
      <x:c r="Q100" s="30" t="n">
        <x:f>IFERROR(K100/J100,0)</x:f>
        <x:v>0.4482758620689655</x:v>
      </x:c>
      <x:c r="R100" s="30" t="n">
        <x:f>IFERROR(L100/K100,0)</x:f>
        <x:v>0.5384615384615384</x:v>
      </x:c>
      <x:c r="S100" s="28" t="n">
        <x:f>IFERROR(N100/J100,0)</x:f>
        <x:v>1370.666551724138</x:v>
      </x:c>
      <x:c r="T100" s="28" t="n">
        <x:f>IFERROR(N100/K100,0)</x:f>
        <x:v>3057.6407692307694</x:v>
      </x:c>
      <x:c r="U100" s="28" t="n">
        <x:f>IFERROR(N100/L100,0)</x:f>
        <x:v>5678.475714285714</x:v>
      </x:c>
    </x:row>
    <x:row r="101">
      <x:c r="A101" t="n">
        <x:v>100</x:v>
      </x:c>
      <x:c r="B101" s="26" t="n">
        <x:v>46048</x:v>
      </x:c>
      <x:c r="C101" t="str">
        <x:v>CPO_Premium</x:v>
      </x:c>
      <x:c r="D101" t="str">
        <x:v>E-mail</x:v>
      </x:c>
      <x:c r="E101" t="str">
        <x:v>Funcionário Público</x:v>
      </x:c>
      <x:c r="F101" t="str">
        <x:v>Cabinda</x:v>
      </x:c>
      <x:c r="G101" t="str">
        <x:v>iOS</x:v>
      </x:c>
      <x:c r="H101" t="n">
        <x:v>8448</x:v>
      </x:c>
      <x:c r="I101" t="n">
        <x:v>390</x:v>
      </x:c>
      <x:c r="J101" t="n">
        <x:v>50</x:v>
      </x:c>
      <x:c r="K101" t="n">
        <x:v>31</x:v>
      </x:c>
      <x:c r="L101" t="n">
        <x:v>20</x:v>
      </x:c>
      <x:c r="M101" s="28" t="n">
        <x:v>35543115.21</x:v>
      </x:c>
      <x:c r="N101" s="28" t="n">
        <x:v>119896.92</x:v>
      </x:c>
      <x:c r="O101" s="30" t="n">
        <x:f>IFERROR(I101/H101,0)</x:f>
        <x:v>0.04616477272727273</x:v>
      </x:c>
      <x:c r="P101" s="30" t="n">
        <x:f>IFERROR(J101/I101,0)</x:f>
        <x:v>0.1282051282051282</x:v>
      </x:c>
      <x:c r="Q101" s="30" t="n">
        <x:f>IFERROR(K101/J101,0)</x:f>
        <x:v>0.62</x:v>
      </x:c>
      <x:c r="R101" s="30" t="n">
        <x:f>IFERROR(L101/K101,0)</x:f>
        <x:v>0.6451612903225806</x:v>
      </x:c>
      <x:c r="S101" s="28" t="n">
        <x:f>IFERROR(N101/J101,0)</x:f>
        <x:v>2397.9384</x:v>
      </x:c>
      <x:c r="T101" s="28" t="n">
        <x:f>IFERROR(N101/K101,0)</x:f>
        <x:v>3867.642580645161</x:v>
      </x:c>
      <x:c r="U101" s="28" t="n">
        <x:f>IFERROR(N101/L101,0)</x:f>
        <x:v>5994.846</x:v>
      </x:c>
    </x:row>
    <x:row r="102">
      <x:c r="A102" t="n">
        <x:v>101</x:v>
      </x:c>
      <x:c r="B102" s="26" t="n">
        <x:v>46048</x:v>
      </x:c>
      <x:c r="C102" t="str">
        <x:v>CPO_Salario</x:v>
      </x:c>
      <x:c r="D102" t="str">
        <x:v>Google Ads</x:v>
      </x:c>
      <x:c r="E102" t="str">
        <x:v>Funcionário Público</x:v>
      </x:c>
      <x:c r="F102" t="str">
        <x:v>Huambo</x:v>
      </x:c>
      <x:c r="G102" t="str">
        <x:v>Android</x:v>
      </x:c>
      <x:c r="H102" t="n">
        <x:v>11196</x:v>
      </x:c>
      <x:c r="I102" t="n">
        <x:v>325</x:v>
      </x:c>
      <x:c r="J102" t="n">
        <x:v>54</x:v>
      </x:c>
      <x:c r="K102" t="n">
        <x:v>40</x:v>
      </x:c>
      <x:c r="L102" t="n">
        <x:v>28</x:v>
      </x:c>
      <x:c r="M102" s="28" t="n">
        <x:v>50384254.12</x:v>
      </x:c>
      <x:c r="N102" s="28" t="n">
        <x:v>22862.47</x:v>
      </x:c>
      <x:c r="O102" s="30" t="n">
        <x:f>IFERROR(I102/H102,0)</x:f>
        <x:v>0.029028224365844943</x:v>
      </x:c>
      <x:c r="P102" s="30" t="n">
        <x:f>IFERROR(J102/I102,0)</x:f>
        <x:v>0.16615384615384615</x:v>
      </x:c>
      <x:c r="Q102" s="30" t="n">
        <x:f>IFERROR(K102/J102,0)</x:f>
        <x:v>0.7407407407407407</x:v>
      </x:c>
      <x:c r="R102" s="30" t="n">
        <x:f>IFERROR(L102/K102,0)</x:f>
        <x:v>0.7</x:v>
      </x:c>
      <x:c r="S102" s="28" t="n">
        <x:f>IFERROR(N102/J102,0)</x:f>
        <x:v>423.3790740740741</x:v>
      </x:c>
      <x:c r="T102" s="28" t="n">
        <x:f>IFERROR(N102/K102,0)</x:f>
        <x:v>571.5617500000001</x:v>
      </x:c>
      <x:c r="U102" s="28" t="n">
        <x:f>IFERROR(N102/L102,0)</x:f>
        <x:v>816.5167857142858</x:v>
      </x:c>
    </x:row>
    <x:row r="103">
      <x:c r="A103" t="n">
        <x:v>102</x:v>
      </x:c>
      <x:c r="B103" s="26" t="n">
        <x:v>46048</x:v>
      </x:c>
      <x:c r="C103" t="str">
        <x:v>CPO_Acesso_Rapido</x:v>
      </x:c>
      <x:c r="D103" t="str">
        <x:v>Meta Ads</x:v>
      </x:c>
      <x:c r="E103" t="str">
        <x:v>Pequeno Negócio</x:v>
      </x:c>
      <x:c r="F103" t="str">
        <x:v>Benguela</x:v>
      </x:c>
      <x:c r="G103" t="str">
        <x:v>iOS</x:v>
      </x:c>
      <x:c r="H103" t="n">
        <x:v>24589</x:v>
      </x:c>
      <x:c r="I103" t="n">
        <x:v>564</x:v>
      </x:c>
      <x:c r="J103" t="n">
        <x:v>66</x:v>
      </x:c>
      <x:c r="K103" t="n">
        <x:v>35</x:v>
      </x:c>
      <x:c r="L103" t="n">
        <x:v>15</x:v>
      </x:c>
      <x:c r="M103" s="28" t="n">
        <x:v>45902235.07</x:v>
      </x:c>
      <x:c r="N103" s="28" t="n">
        <x:v>72476.51</x:v>
      </x:c>
      <x:c r="O103" s="30" t="n">
        <x:f>IFERROR(I103/H103,0)</x:f>
        <x:v>0.0229370856887226</x:v>
      </x:c>
      <x:c r="P103" s="30" t="n">
        <x:f>IFERROR(J103/I103,0)</x:f>
        <x:v>0.11702127659574468</x:v>
      </x:c>
      <x:c r="Q103" s="30" t="n">
        <x:f>IFERROR(K103/J103,0)</x:f>
        <x:v>0.5303030303030303</x:v>
      </x:c>
      <x:c r="R103" s="30" t="n">
        <x:f>IFERROR(L103/K103,0)</x:f>
        <x:v>0.42857142857142855</x:v>
      </x:c>
      <x:c r="S103" s="28" t="n">
        <x:f>IFERROR(N103/J103,0)</x:f>
        <x:v>1098.1289393939394</x:v>
      </x:c>
      <x:c r="T103" s="28" t="n">
        <x:f>IFERROR(N103/K103,0)</x:f>
        <x:v>2070.7574285714286</x:v>
      </x:c>
      <x:c r="U103" s="28" t="n">
        <x:f>IFERROR(N103/L103,0)</x:f>
        <x:v>4831.767333333333</x:v>
      </x:c>
    </x:row>
    <x:row r="104">
      <x:c r="A104" t="n">
        <x:v>103</x:v>
      </x:c>
      <x:c r="B104" s="26" t="n">
        <x:v>46048</x:v>
      </x:c>
      <x:c r="C104" t="str">
        <x:v>CPO_Fim_do_Mes</x:v>
      </x:c>
      <x:c r="D104" t="str">
        <x:v>Google Ads</x:v>
      </x:c>
      <x:c r="E104" t="str">
        <x:v>Assalariado</x:v>
      </x:c>
      <x:c r="F104" t="str">
        <x:v>Huambo</x:v>
      </x:c>
      <x:c r="G104" t="str">
        <x:v>iOS</x:v>
      </x:c>
      <x:c r="H104" t="n">
        <x:v>16662</x:v>
      </x:c>
      <x:c r="I104" t="n">
        <x:v>563</x:v>
      </x:c>
      <x:c r="J104" t="n">
        <x:v>82</x:v>
      </x:c>
      <x:c r="K104" t="n">
        <x:v>59</x:v>
      </x:c>
      <x:c r="L104" t="n">
        <x:v>31</x:v>
      </x:c>
      <x:c r="M104" s="28" t="n">
        <x:v>62422863.21</x:v>
      </x:c>
      <x:c r="N104" s="28" t="n">
        <x:v>48569.03</x:v>
      </x:c>
      <x:c r="O104" s="30" t="n">
        <x:f>IFERROR(I104/H104,0)</x:f>
        <x:v>0.03378946104909375</x:v>
      </x:c>
      <x:c r="P104" s="30" t="n">
        <x:f>IFERROR(J104/I104,0)</x:f>
        <x:v>0.14564831261101244</x:v>
      </x:c>
      <x:c r="Q104" s="30" t="n">
        <x:f>IFERROR(K104/J104,0)</x:f>
        <x:v>0.7195121951219512</x:v>
      </x:c>
      <x:c r="R104" s="30" t="n">
        <x:f>IFERROR(L104/K104,0)</x:f>
        <x:v>0.5254237288135594</x:v>
      </x:c>
      <x:c r="S104" s="28" t="n">
        <x:f>IFERROR(N104/J104,0)</x:f>
        <x:v>592.305243902439</x:v>
      </x:c>
      <x:c r="T104" s="28" t="n">
        <x:f>IFERROR(N104/K104,0)</x:f>
        <x:v>823.2038983050847</x:v>
      </x:c>
      <x:c r="U104" s="28" t="n">
        <x:f>IFERROR(N104/L104,0)</x:f>
        <x:v>1566.7429032258065</x:v>
      </x:c>
    </x:row>
    <x:row r="105">
      <x:c r="A105" t="n">
        <x:v>104</x:v>
      </x:c>
      <x:c r="B105" s="26" t="n">
        <x:v>46049</x:v>
      </x:c>
      <x:c r="C105" t="str">
        <x:v>CPO_Acesso_Rapido</x:v>
      </x:c>
      <x:c r="D105" t="str">
        <x:v>BAI Directo/App</x:v>
      </x:c>
      <x:c r="E105" t="str">
        <x:v>Pequeno Negócio</x:v>
      </x:c>
      <x:c r="F105" t="str">
        <x:v>Benguela</x:v>
      </x:c>
      <x:c r="G105" t="str">
        <x:v>iOS</x:v>
      </x:c>
      <x:c r="H105" t="n">
        <x:v>7143</x:v>
      </x:c>
      <x:c r="I105" t="n">
        <x:v>671</x:v>
      </x:c>
      <x:c r="J105" t="n">
        <x:v>120</x:v>
      </x:c>
      <x:c r="K105" t="n">
        <x:v>47</x:v>
      </x:c>
      <x:c r="L105" t="n">
        <x:v>31</x:v>
      </x:c>
      <x:c r="M105" s="28" t="n">
        <x:v>88282983.85</x:v>
      </x:c>
      <x:c r="N105" s="28" t="n">
        <x:v>72128.49</x:v>
      </x:c>
      <x:c r="O105" s="30" t="n">
        <x:f>IFERROR(I105/H105,0)</x:f>
        <x:v>0.09393812123757525</x:v>
      </x:c>
      <x:c r="P105" s="30" t="n">
        <x:f>IFERROR(J105/I105,0)</x:f>
        <x:v>0.17883755588673622</x:v>
      </x:c>
      <x:c r="Q105" s="30" t="n">
        <x:f>IFERROR(K105/J105,0)</x:f>
        <x:v>0.39166666666666666</x:v>
      </x:c>
      <x:c r="R105" s="30" t="n">
        <x:f>IFERROR(L105/K105,0)</x:f>
        <x:v>0.6595744680851063</x:v>
      </x:c>
      <x:c r="S105" s="28" t="n">
        <x:f>IFERROR(N105/J105,0)</x:f>
        <x:v>601.0707500000001</x:v>
      </x:c>
      <x:c r="T105" s="28" t="n">
        <x:f>IFERROR(N105/K105,0)</x:f>
        <x:v>1534.6487234042554</x:v>
      </x:c>
      <x:c r="U105" s="28" t="n">
        <x:f>IFERROR(N105/L105,0)</x:f>
        <x:v>2326.7254838709678</x:v>
      </x:c>
    </x:row>
    <x:row r="106">
      <x:c r="A106" t="n">
        <x:v>105</x:v>
      </x:c>
      <x:c r="B106" s="26" t="n">
        <x:v>46049</x:v>
      </x:c>
      <x:c r="C106" t="str">
        <x:v>CPO_Acesso_Rapido</x:v>
      </x:c>
      <x:c r="D106" t="str">
        <x:v>Meta Ads</x:v>
      </x:c>
      <x:c r="E106" t="str">
        <x:v>Assalariado</x:v>
      </x:c>
      <x:c r="F106" t="str">
        <x:v>Cabinda</x:v>
      </x:c>
      <x:c r="G106" t="str">
        <x:v>Android</x:v>
      </x:c>
      <x:c r="H106" t="n">
        <x:v>5905</x:v>
      </x:c>
      <x:c r="I106" t="n">
        <x:v>111</x:v>
      </x:c>
      <x:c r="J106" t="n">
        <x:v>13</x:v>
      </x:c>
      <x:c r="K106" t="n">
        <x:v>8</x:v>
      </x:c>
      <x:c r="L106" t="n">
        <x:v>4</x:v>
      </x:c>
      <x:c r="M106" s="28" t="n">
        <x:v>9855620.04</x:v>
      </x:c>
      <x:c r="N106" s="28" t="n">
        <x:v>7107.91</x:v>
      </x:c>
      <x:c r="O106" s="30" t="n">
        <x:f>IFERROR(I106/H106,0)</x:f>
        <x:v>0.01879762912785775</x:v>
      </x:c>
      <x:c r="P106" s="30" t="n">
        <x:f>IFERROR(J106/I106,0)</x:f>
        <x:v>0.11711711711711711</x:v>
      </x:c>
      <x:c r="Q106" s="30" t="n">
        <x:f>IFERROR(K106/J106,0)</x:f>
        <x:v>0.6153846153846154</x:v>
      </x:c>
      <x:c r="R106" s="30" t="n">
        <x:f>IFERROR(L106/K106,0)</x:f>
        <x:v>0.5</x:v>
      </x:c>
      <x:c r="S106" s="28" t="n">
        <x:f>IFERROR(N106/J106,0)</x:f>
        <x:v>546.7623076923077</x:v>
      </x:c>
      <x:c r="T106" s="28" t="n">
        <x:f>IFERROR(N106/K106,0)</x:f>
        <x:v>888.48875</x:v>
      </x:c>
      <x:c r="U106" s="28" t="n">
        <x:f>IFERROR(N106/L106,0)</x:f>
        <x:v>1776.9775</x:v>
      </x:c>
    </x:row>
    <x:row r="107">
      <x:c r="A107" t="n">
        <x:v>106</x:v>
      </x:c>
      <x:c r="B107" s="26" t="n">
        <x:v>46049</x:v>
      </x:c>
      <x:c r="C107" t="str">
        <x:v>CPO_Digital_360</x:v>
      </x:c>
      <x:c r="D107" t="str">
        <x:v>Google Ads</x:v>
      </x:c>
      <x:c r="E107" t="str">
        <x:v>Assalariado</x:v>
      </x:c>
      <x:c r="F107" t="str">
        <x:v>Luanda</x:v>
      </x:c>
      <x:c r="G107" t="str">
        <x:v>Android</x:v>
      </x:c>
      <x:c r="H107" t="n">
        <x:v>18102</x:v>
      </x:c>
      <x:c r="I107" t="n">
        <x:v>317</x:v>
      </x:c>
      <x:c r="J107" t="n">
        <x:v>55</x:v>
      </x:c>
      <x:c r="K107" t="n">
        <x:v>42</x:v>
      </x:c>
      <x:c r="L107" t="n">
        <x:v>26</x:v>
      </x:c>
      <x:c r="M107" s="28" t="n">
        <x:v>54672310.06</x:v>
      </x:c>
      <x:c r="N107" s="28" t="n">
        <x:v>28036.6</x:v>
      </x:c>
      <x:c r="O107" s="30" t="n">
        <x:f>IFERROR(I107/H107,0)</x:f>
        <x:v>0.017511877140647444</x:v>
      </x:c>
      <x:c r="P107" s="30" t="n">
        <x:f>IFERROR(J107/I107,0)</x:f>
        <x:v>0.17350157728706625</x:v>
      </x:c>
      <x:c r="Q107" s="30" t="n">
        <x:f>IFERROR(K107/J107,0)</x:f>
        <x:v>0.7636363636363637</x:v>
      </x:c>
      <x:c r="R107" s="30" t="n">
        <x:f>IFERROR(L107/K107,0)</x:f>
        <x:v>0.6190476190476191</x:v>
      </x:c>
      <x:c r="S107" s="28" t="n">
        <x:f>IFERROR(N107/J107,0)</x:f>
        <x:v>509.75636363636363</x:v>
      </x:c>
      <x:c r="T107" s="28" t="n">
        <x:f>IFERROR(N107/K107,0)</x:f>
        <x:v>667.5380952380953</x:v>
      </x:c>
      <x:c r="U107" s="28" t="n">
        <x:f>IFERROR(N107/L107,0)</x:f>
        <x:v>1078.3307692307692</x:v>
      </x:c>
    </x:row>
    <x:row r="108">
      <x:c r="A108" t="n">
        <x:v>107</x:v>
      </x:c>
      <x:c r="B108" s="26" t="n">
        <x:v>46049</x:v>
      </x:c>
      <x:c r="C108" t="str">
        <x:v>CPO_Fim_do_Mes</x:v>
      </x:c>
      <x:c r="D108" t="str">
        <x:v>SMS</x:v>
      </x:c>
      <x:c r="E108" t="str">
        <x:v>Premium</x:v>
      </x:c>
      <x:c r="F108" t="str">
        <x:v>Huíla</x:v>
      </x:c>
      <x:c r="G108" t="str">
        <x:v>iOS</x:v>
      </x:c>
      <x:c r="H108" t="n">
        <x:v>7021</x:v>
      </x:c>
      <x:c r="I108" t="n">
        <x:v>699</x:v>
      </x:c>
      <x:c r="J108" t="n">
        <x:v>122</x:v>
      </x:c>
      <x:c r="K108" t="n">
        <x:v>83</x:v>
      </x:c>
      <x:c r="L108" t="n">
        <x:v>65</x:v>
      </x:c>
      <x:c r="M108" s="28" t="n">
        <x:v>347414573.47</x:v>
      </x:c>
      <x:c r="N108" s="28" t="n">
        <x:v>97757.29</x:v>
      </x:c>
      <x:c r="O108" s="30" t="n">
        <x:f>IFERROR(I108/H108,0)</x:f>
        <x:v>0.09955846745477852</x:v>
      </x:c>
      <x:c r="P108" s="30" t="n">
        <x:f>IFERROR(J108/I108,0)</x:f>
        <x:v>0.17453505007153075</x:v>
      </x:c>
      <x:c r="Q108" s="30" t="n">
        <x:f>IFERROR(K108/J108,0)</x:f>
        <x:v>0.680327868852459</x:v>
      </x:c>
      <x:c r="R108" s="30" t="n">
        <x:f>IFERROR(L108/K108,0)</x:f>
        <x:v>0.7831325301204819</x:v>
      </x:c>
      <x:c r="S108" s="28" t="n">
        <x:f>IFERROR(N108/J108,0)</x:f>
        <x:v>801.2892622950819</x:v>
      </x:c>
      <x:c r="T108" s="28" t="n">
        <x:f>IFERROR(N108/K108,0)</x:f>
        <x:v>1177.7986746987951</x:v>
      </x:c>
      <x:c r="U108" s="28" t="n">
        <x:f>IFERROR(N108/L108,0)</x:f>
        <x:v>1503.9583076923077</x:v>
      </x:c>
    </x:row>
    <x:row r="109">
      <x:c r="A109" t="n">
        <x:v>108</x:v>
      </x:c>
      <x:c r="B109" s="26" t="n">
        <x:v>46050</x:v>
      </x:c>
      <x:c r="C109" t="str">
        <x:v>CPO_Digital_360</x:v>
      </x:c>
      <x:c r="D109" t="str">
        <x:v>E-mail</x:v>
      </x:c>
      <x:c r="E109" t="str">
        <x:v>Pequeno Negócio</x:v>
      </x:c>
      <x:c r="F109" t="str">
        <x:v>Luanda</x:v>
      </x:c>
      <x:c r="G109" t="str">
        <x:v>Android</x:v>
      </x:c>
      <x:c r="H109" t="n">
        <x:v>4155</x:v>
      </x:c>
      <x:c r="I109" t="n">
        <x:v>217</x:v>
      </x:c>
      <x:c r="J109" t="n">
        <x:v>21</x:v>
      </x:c>
      <x:c r="K109" t="n">
        <x:v>10</x:v>
      </x:c>
      <x:c r="L109" t="n">
        <x:v>4</x:v>
      </x:c>
      <x:c r="M109" s="28" t="n">
        <x:v>12572680.17</x:v>
      </x:c>
      <x:c r="N109" s="28" t="n">
        <x:v>48906.23</x:v>
      </x:c>
      <x:c r="O109" s="30" t="n">
        <x:f>IFERROR(I109/H109,0)</x:f>
        <x:v>0.05222623345367028</x:v>
      </x:c>
      <x:c r="P109" s="30" t="n">
        <x:f>IFERROR(J109/I109,0)</x:f>
        <x:v>0.0967741935483871</x:v>
      </x:c>
      <x:c r="Q109" s="30" t="n">
        <x:f>IFERROR(K109/J109,0)</x:f>
        <x:v>0.47619047619047616</x:v>
      </x:c>
      <x:c r="R109" s="30" t="n">
        <x:f>IFERROR(L109/K109,0)</x:f>
        <x:v>0.4</x:v>
      </x:c>
      <x:c r="S109" s="28" t="n">
        <x:f>IFERROR(N109/J109,0)</x:f>
        <x:v>2328.8680952380955</x:v>
      </x:c>
      <x:c r="T109" s="28" t="n">
        <x:f>IFERROR(N109/K109,0)</x:f>
        <x:v>4890.6230000000005</x:v>
      </x:c>
      <x:c r="U109" s="28" t="n">
        <x:f>IFERROR(N109/L109,0)</x:f>
        <x:v>12226.5575</x:v>
      </x:c>
    </x:row>
    <x:row r="110">
      <x:c r="A110" t="n">
        <x:v>109</x:v>
      </x:c>
      <x:c r="B110" s="26" t="n">
        <x:v>46050</x:v>
      </x:c>
      <x:c r="C110" t="str">
        <x:v>CPO_Always_On</x:v>
      </x:c>
      <x:c r="D110" t="str">
        <x:v>SMS</x:v>
      </x:c>
      <x:c r="E110" t="str">
        <x:v>Jovem Profissional</x:v>
      </x:c>
      <x:c r="F110" t="str">
        <x:v>Luanda</x:v>
      </x:c>
      <x:c r="G110" t="str">
        <x:v>Android</x:v>
      </x:c>
      <x:c r="H110" t="n">
        <x:v>8686</x:v>
      </x:c>
      <x:c r="I110" t="n">
        <x:v>766</x:v>
      </x:c>
      <x:c r="J110" t="n">
        <x:v>96</x:v>
      </x:c>
      <x:c r="K110" t="n">
        <x:v>48</x:v>
      </x:c>
      <x:c r="L110" t="n">
        <x:v>28</x:v>
      </x:c>
      <x:c r="M110" s="28" t="n">
        <x:v>32863487.41</x:v>
      </x:c>
      <x:c r="N110" s="28" t="n">
        <x:v>68230.38</x:v>
      </x:c>
      <x:c r="O110" s="30" t="n">
        <x:f>IFERROR(I110/H110,0)</x:f>
        <x:v>0.08818788855629749</x:v>
      </x:c>
      <x:c r="P110" s="30" t="n">
        <x:f>IFERROR(J110/I110,0)</x:f>
        <x:v>0.12532637075718014</x:v>
      </x:c>
      <x:c r="Q110" s="30" t="n">
        <x:f>IFERROR(K110/J110,0)</x:f>
        <x:v>0.5</x:v>
      </x:c>
      <x:c r="R110" s="30" t="n">
        <x:f>IFERROR(L110/K110,0)</x:f>
        <x:v>0.5833333333333334</x:v>
      </x:c>
      <x:c r="S110" s="28" t="n">
        <x:f>IFERROR(N110/J110,0)</x:f>
        <x:v>710.7331250000001</x:v>
      </x:c>
      <x:c r="T110" s="28" t="n">
        <x:f>IFERROR(N110/K110,0)</x:f>
        <x:v>1421.4662500000002</x:v>
      </x:c>
      <x:c r="U110" s="28" t="n">
        <x:f>IFERROR(N110/L110,0)</x:f>
        <x:v>2436.799285714286</x:v>
      </x:c>
    </x:row>
    <x:row r="111">
      <x:c r="A111" t="n">
        <x:v>110</x:v>
      </x:c>
      <x:c r="B111" s="26" t="n">
        <x:v>46050</x:v>
      </x:c>
      <x:c r="C111" t="str">
        <x:v>CPO_Fim_do_Mes</x:v>
      </x:c>
      <x:c r="D111" t="str">
        <x:v>SMS</x:v>
      </x:c>
      <x:c r="E111" t="str">
        <x:v>Premium</x:v>
      </x:c>
      <x:c r="F111" t="str">
        <x:v>Cuanza Sul</x:v>
      </x:c>
      <x:c r="G111" t="str">
        <x:v>Android</x:v>
      </x:c>
      <x:c r="H111" t="n">
        <x:v>3527</x:v>
      </x:c>
      <x:c r="I111" t="n">
        <x:v>266</x:v>
      </x:c>
      <x:c r="J111" t="n">
        <x:v>38</x:v>
      </x:c>
      <x:c r="K111" t="n">
        <x:v>28</x:v>
      </x:c>
      <x:c r="L111" t="n">
        <x:v>21</x:v>
      </x:c>
      <x:c r="M111" s="28" t="n">
        <x:v>102595175.78</x:v>
      </x:c>
      <x:c r="N111" s="28" t="n">
        <x:v>38260.92</x:v>
      </x:c>
      <x:c r="O111" s="30" t="n">
        <x:f>IFERROR(I111/H111,0)</x:f>
        <x:v>0.07541820243833286</x:v>
      </x:c>
      <x:c r="P111" s="30" t="n">
        <x:f>IFERROR(J111/I111,0)</x:f>
        <x:v>0.14285714285714285</x:v>
      </x:c>
      <x:c r="Q111" s="30" t="n">
        <x:f>IFERROR(K111/J111,0)</x:f>
        <x:v>0.7368421052631579</x:v>
      </x:c>
      <x:c r="R111" s="30" t="n">
        <x:f>IFERROR(L111/K111,0)</x:f>
        <x:v>0.75</x:v>
      </x:c>
      <x:c r="S111" s="28" t="n">
        <x:f>IFERROR(N111/J111,0)</x:f>
        <x:v>1006.8663157894737</x:v>
      </x:c>
      <x:c r="T111" s="28" t="n">
        <x:f>IFERROR(N111/K111,0)</x:f>
        <x:v>1366.4614285714285</x:v>
      </x:c>
      <x:c r="U111" s="28" t="n">
        <x:f>IFERROR(N111/L111,0)</x:f>
        <x:v>1821.9485714285713</x:v>
      </x:c>
    </x:row>
    <x:row r="112">
      <x:c r="A112" t="n">
        <x:v>111</x:v>
      </x:c>
      <x:c r="B112" s="26" t="n">
        <x:v>46050</x:v>
      </x:c>
      <x:c r="C112" t="str">
        <x:v>CPO_Acesso_Rapido</x:v>
      </x:c>
      <x:c r="D112" t="str">
        <x:v>Meta Ads</x:v>
      </x:c>
      <x:c r="E112" t="str">
        <x:v>Assalariado</x:v>
      </x:c>
      <x:c r="F112" t="str">
        <x:v>Cuanza Sul</x:v>
      </x:c>
      <x:c r="G112" t="str">
        <x:v>Android</x:v>
      </x:c>
      <x:c r="H112" t="n">
        <x:v>9121</x:v>
      </x:c>
      <x:c r="I112" t="n">
        <x:v>193</x:v>
      </x:c>
      <x:c r="J112" t="n">
        <x:v>23</x:v>
      </x:c>
      <x:c r="K112" t="n">
        <x:v>18</x:v>
      </x:c>
      <x:c r="L112" t="n">
        <x:v>13</x:v>
      </x:c>
      <x:c r="M112" s="28" t="n">
        <x:v>27710527.33</x:v>
      </x:c>
      <x:c r="N112" s="28" t="n">
        <x:v>18785.52</x:v>
      </x:c>
      <x:c r="O112" s="30" t="n">
        <x:f>IFERROR(I112/H112,0)</x:f>
        <x:v>0.02115996053064357</x:v>
      </x:c>
      <x:c r="P112" s="30" t="n">
        <x:f>IFERROR(J112/I112,0)</x:f>
        <x:v>0.11917098445595854</x:v>
      </x:c>
      <x:c r="Q112" s="30" t="n">
        <x:f>IFERROR(K112/J112,0)</x:f>
        <x:v>0.782608695652174</x:v>
      </x:c>
      <x:c r="R112" s="30" t="n">
        <x:f>IFERROR(L112/K112,0)</x:f>
        <x:v>0.7222222222222222</x:v>
      </x:c>
      <x:c r="S112" s="28" t="n">
        <x:f>IFERROR(N112/J112,0)</x:f>
        <x:v>816.7617391304348</x:v>
      </x:c>
      <x:c r="T112" s="28" t="n">
        <x:f>IFERROR(N112/K112,0)</x:f>
        <x:v>1043.64</x:v>
      </x:c>
      <x:c r="U112" s="28" t="n">
        <x:f>IFERROR(N112/L112,0)</x:f>
        <x:v>1445.04</x:v>
      </x:c>
    </x:row>
    <x:row r="113">
      <x:c r="A113" t="n">
        <x:v>112</x:v>
      </x:c>
      <x:c r="B113" s="26" t="n">
        <x:v>46050</x:v>
      </x:c>
      <x:c r="C113" t="str">
        <x:v>CPO_Acesso_Rapido</x:v>
      </x:c>
      <x:c r="D113" t="str">
        <x:v>BAI Directo/App</x:v>
      </x:c>
      <x:c r="E113" t="str">
        <x:v>Funcionário Público</x:v>
      </x:c>
      <x:c r="F113" t="str">
        <x:v>Cuanza Sul</x:v>
      </x:c>
      <x:c r="G113" t="str">
        <x:v>iOS</x:v>
      </x:c>
      <x:c r="H113" t="n">
        <x:v>11007</x:v>
      </x:c>
      <x:c r="I113" t="n">
        <x:v>1287</x:v>
      </x:c>
      <x:c r="J113" t="n">
        <x:v>269</x:v>
      </x:c>
      <x:c r="K113" t="n">
        <x:v>194</x:v>
      </x:c>
      <x:c r="L113" t="n">
        <x:v>149</x:v>
      </x:c>
      <x:c r="M113" s="28" t="n">
        <x:v>267197454.47</x:v>
      </x:c>
      <x:c r="N113" s="28" t="n">
        <x:v>158126.64</x:v>
      </x:c>
      <x:c r="O113" s="30" t="n">
        <x:f>IFERROR(I113/H113,0)</x:f>
        <x:v>0.1169255928045789</x:v>
      </x:c>
      <x:c r="P113" s="30" t="n">
        <x:f>IFERROR(J113/I113,0)</x:f>
        <x:v>0.20901320901320902</x:v>
      </x:c>
      <x:c r="Q113" s="30" t="n">
        <x:f>IFERROR(K113/J113,0)</x:f>
        <x:v>0.7211895910780669</x:v>
      </x:c>
      <x:c r="R113" s="30" t="n">
        <x:f>IFERROR(L113/K113,0)</x:f>
        <x:v>0.7680412371134021</x:v>
      </x:c>
      <x:c r="S113" s="28" t="n">
        <x:f>IFERROR(N113/J113,0)</x:f>
        <x:v>587.831375464684</x:v>
      </x:c>
      <x:c r="T113" s="28" t="n">
        <x:f>IFERROR(N113/K113,0)</x:f>
        <x:v>815.0857731958764</x:v>
      </x:c>
      <x:c r="U113" s="28" t="n">
        <x:f>IFERROR(N113/L113,0)</x:f>
        <x:v>1061.2526174496645</x:v>
      </x:c>
    </x:row>
    <x:row r="114">
      <x:c r="A114" t="n">
        <x:v>113</x:v>
      </x:c>
      <x:c r="B114" s="26" t="n">
        <x:v>46051</x:v>
      </x:c>
      <x:c r="C114" t="str">
        <x:v>CPO_Salario</x:v>
      </x:c>
      <x:c r="D114" t="str">
        <x:v>Meta Ads</x:v>
      </x:c>
      <x:c r="E114" t="str">
        <x:v>Assalariado</x:v>
      </x:c>
      <x:c r="F114" t="str">
        <x:v>Luanda</x:v>
      </x:c>
      <x:c r="G114" t="str">
        <x:v>iOS</x:v>
      </x:c>
      <x:c r="H114" t="n">
        <x:v>11926</x:v>
      </x:c>
      <x:c r="I114" t="n">
        <x:v>303</x:v>
      </x:c>
      <x:c r="J114" t="n">
        <x:v>34</x:v>
      </x:c>
      <x:c r="K114" t="n">
        <x:v>25</x:v>
      </x:c>
      <x:c r="L114" t="n">
        <x:v>18</x:v>
      </x:c>
      <x:c r="M114" s="28" t="n">
        <x:v>40292175.66</x:v>
      </x:c>
      <x:c r="N114" s="28" t="n">
        <x:v>15967.3</x:v>
      </x:c>
      <x:c r="O114" s="30" t="n">
        <x:f>IFERROR(I114/H114,0)</x:f>
        <x:v>0.025406674492705013</x:v>
      </x:c>
      <x:c r="P114" s="30" t="n">
        <x:f>IFERROR(J114/I114,0)</x:f>
        <x:v>0.11221122112211221</x:v>
      </x:c>
      <x:c r="Q114" s="30" t="n">
        <x:f>IFERROR(K114/J114,0)</x:f>
        <x:v>0.7352941176470589</x:v>
      </x:c>
      <x:c r="R114" s="30" t="n">
        <x:f>IFERROR(L114/K114,0)</x:f>
        <x:v>0.72</x:v>
      </x:c>
      <x:c r="S114" s="28" t="n">
        <x:f>IFERROR(N114/J114,0)</x:f>
        <x:v>469.6264705882353</x:v>
      </x:c>
      <x:c r="T114" s="28" t="n">
        <x:f>IFERROR(N114/K114,0)</x:f>
        <x:v>638.692</x:v>
      </x:c>
      <x:c r="U114" s="28" t="n">
        <x:f>IFERROR(N114/L114,0)</x:f>
        <x:v>887.0722222222222</x:v>
      </x:c>
    </x:row>
    <x:row r="115">
      <x:c r="A115" t="n">
        <x:v>114</x:v>
      </x:c>
      <x:c r="B115" s="26" t="n">
        <x:v>46051</x:v>
      </x:c>
      <x:c r="C115" t="str">
        <x:v>CPO_Always_On</x:v>
      </x:c>
      <x:c r="D115" t="str">
        <x:v>BAI Directo/App</x:v>
      </x:c>
      <x:c r="E115" t="str">
        <x:v>Assalariado</x:v>
      </x:c>
      <x:c r="F115" t="str">
        <x:v>Luanda</x:v>
      </x:c>
      <x:c r="G115" t="str">
        <x:v>iOS</x:v>
      </x:c>
      <x:c r="H115" t="n">
        <x:v>11715</x:v>
      </x:c>
      <x:c r="I115" t="n">
        <x:v>1202</x:v>
      </x:c>
      <x:c r="J115" t="n">
        <x:v>269</x:v>
      </x:c>
      <x:c r="K115" t="n">
        <x:v>173</x:v>
      </x:c>
      <x:c r="L115" t="n">
        <x:v>147</x:v>
      </x:c>
      <x:c r="M115" s="28" t="n">
        <x:v>317952506.04</x:v>
      </x:c>
      <x:c r="N115" s="28" t="n">
        <x:v>51037.71</x:v>
      </x:c>
      <x:c r="O115" s="30" t="n">
        <x:f>IFERROR(I115/H115,0)</x:f>
        <x:v>0.10260349978659838</x:v>
      </x:c>
      <x:c r="P115" s="30" t="n">
        <x:f>IFERROR(J115/I115,0)</x:f>
        <x:v>0.2237936772046589</x:v>
      </x:c>
      <x:c r="Q115" s="30" t="n">
        <x:f>IFERROR(K115/J115,0)</x:f>
        <x:v>0.6431226765799256</x:v>
      </x:c>
      <x:c r="R115" s="30" t="n">
        <x:f>IFERROR(L115/K115,0)</x:f>
        <x:v>0.8497109826589595</x:v>
      </x:c>
      <x:c r="S115" s="28" t="n">
        <x:f>IFERROR(N115/J115,0)</x:f>
        <x:v>189.73126394052045</x:v>
      </x:c>
      <x:c r="T115" s="28" t="n">
        <x:f>IFERROR(N115/K115,0)</x:f>
        <x:v>295.0156647398844</x:v>
      </x:c>
      <x:c r="U115" s="28" t="n">
        <x:f>IFERROR(N115/L115,0)</x:f>
        <x:v>347.195306122449</x:v>
      </x:c>
    </x:row>
    <x:row r="116">
      <x:c r="A116" t="n">
        <x:v>115</x:v>
      </x:c>
      <x:c r="B116" s="26" t="n">
        <x:v>46051</x:v>
      </x:c>
      <x:c r="C116" t="str">
        <x:v>CPO_Always_On</x:v>
      </x:c>
      <x:c r="D116" t="str">
        <x:v>E-mail</x:v>
      </x:c>
      <x:c r="E116" t="str">
        <x:v>Assalariado</x:v>
      </x:c>
      <x:c r="F116" t="str">
        <x:v>Luanda</x:v>
      </x:c>
      <x:c r="G116" t="str">
        <x:v>Android</x:v>
      </x:c>
      <x:c r="H116" t="n">
        <x:v>9852</x:v>
      </x:c>
      <x:c r="I116" t="n">
        <x:v>581</x:v>
      </x:c>
      <x:c r="J116" t="n">
        <x:v>65</x:v>
      </x:c>
      <x:c r="K116" t="n">
        <x:v>48</x:v>
      </x:c>
      <x:c r="L116" t="n">
        <x:v>30</x:v>
      </x:c>
      <x:c r="M116" s="28" t="n">
        <x:v>65998684.71</x:v>
      </x:c>
      <x:c r="N116" s="28" t="n">
        <x:v>143144.2</x:v>
      </x:c>
      <x:c r="O116" s="30" t="n">
        <x:f>IFERROR(I116/H116,0)</x:f>
        <x:v>0.058972797401542834</x:v>
      </x:c>
      <x:c r="P116" s="30" t="n">
        <x:f>IFERROR(J116/I116,0)</x:f>
        <x:v>0.11187607573149742</x:v>
      </x:c>
      <x:c r="Q116" s="30" t="n">
        <x:f>IFERROR(K116/J116,0)</x:f>
        <x:v>0.7384615384615385</x:v>
      </x:c>
      <x:c r="R116" s="30" t="n">
        <x:f>IFERROR(L116/K116,0)</x:f>
        <x:v>0.625</x:v>
      </x:c>
      <x:c r="S116" s="28" t="n">
        <x:f>IFERROR(N116/J116,0)</x:f>
        <x:v>2202.2184615384617</x:v>
      </x:c>
      <x:c r="T116" s="28" t="n">
        <x:f>IFERROR(N116/K116,0)</x:f>
        <x:v>2982.1708333333336</x:v>
      </x:c>
      <x:c r="U116" s="28" t="n">
        <x:f>IFERROR(N116/L116,0)</x:f>
        <x:v>4771.473333333333</x:v>
      </x:c>
    </x:row>
    <x:row r="117">
      <x:c r="A117" t="n">
        <x:v>116</x:v>
      </x:c>
      <x:c r="B117" s="26" t="n">
        <x:v>46052</x:v>
      </x:c>
      <x:c r="C117" t="str">
        <x:v>CPO_Salario</x:v>
      </x:c>
      <x:c r="D117" t="str">
        <x:v>TikTok Ads</x:v>
      </x:c>
      <x:c r="E117" t="str">
        <x:v>Jovem Profissional</x:v>
      </x:c>
      <x:c r="F117" t="str">
        <x:v>Luanda</x:v>
      </x:c>
      <x:c r="G117" t="str">
        <x:v>Android</x:v>
      </x:c>
      <x:c r="H117" t="n">
        <x:v>2615</x:v>
      </x:c>
      <x:c r="I117" t="n">
        <x:v>43</x:v>
      </x:c>
      <x:c r="J117" t="n">
        <x:v>3</x:v>
      </x:c>
      <x:c r="K117" t="n">
        <x:v>2</x:v>
      </x:c>
      <x:c r="L117" t="n">
        <x:v>1</x:v>
      </x:c>
      <x:c r="M117" s="28" t="n">
        <x:v>1510210.65</x:v>
      </x:c>
      <x:c r="N117" s="28" t="n">
        <x:v>5323.73</x:v>
      </x:c>
      <x:c r="O117" s="30" t="n">
        <x:f>IFERROR(I117/H117,0)</x:f>
        <x:v>0.01644359464627151</x:v>
      </x:c>
      <x:c r="P117" s="30" t="n">
        <x:f>IFERROR(J117/I117,0)</x:f>
        <x:v>0.06976744186046512</x:v>
      </x:c>
      <x:c r="Q117" s="30" t="n">
        <x:f>IFERROR(K117/J117,0)</x:f>
        <x:v>0.6666666666666666</x:v>
      </x:c>
      <x:c r="R117" s="30" t="n">
        <x:f>IFERROR(L117/K117,0)</x:f>
        <x:v>0.5</x:v>
      </x:c>
      <x:c r="S117" s="28" t="n">
        <x:f>IFERROR(N117/J117,0)</x:f>
        <x:v>1774.5766666666666</x:v>
      </x:c>
      <x:c r="T117" s="28" t="n">
        <x:f>IFERROR(N117/K117,0)</x:f>
        <x:v>2661.865</x:v>
      </x:c>
      <x:c r="U117" s="28" t="n">
        <x:f>IFERROR(N117/L117,0)</x:f>
        <x:v>5323.73</x:v>
      </x:c>
    </x:row>
    <x:row r="118">
      <x:c r="A118" t="n">
        <x:v>117</x:v>
      </x:c>
      <x:c r="B118" s="26" t="n">
        <x:v>46052</x:v>
      </x:c>
      <x:c r="C118" t="str">
        <x:v>CPO_Fim_do_Mes</x:v>
      </x:c>
      <x:c r="D118" t="str">
        <x:v>Meta Ads</x:v>
      </x:c>
      <x:c r="E118" t="str">
        <x:v>Pequeno Negócio</x:v>
      </x:c>
      <x:c r="F118" t="str">
        <x:v>Uíge</x:v>
      </x:c>
      <x:c r="G118" t="str">
        <x:v>Android</x:v>
      </x:c>
      <x:c r="H118" t="n">
        <x:v>24109</x:v>
      </x:c>
      <x:c r="I118" t="n">
        <x:v>356</x:v>
      </x:c>
      <x:c r="J118" t="n">
        <x:v>40</x:v>
      </x:c>
      <x:c r="K118" t="n">
        <x:v>21</x:v>
      </x:c>
      <x:c r="L118" t="n">
        <x:v>12</x:v>
      </x:c>
      <x:c r="M118" s="28" t="n">
        <x:v>37100668.66</x:v>
      </x:c>
      <x:c r="N118" s="28" t="n">
        <x:v>31425.55</x:v>
      </x:c>
      <x:c r="O118" s="30" t="n">
        <x:f>IFERROR(I118/H118,0)</x:f>
        <x:v>0.014766269857729478</x:v>
      </x:c>
      <x:c r="P118" s="30" t="n">
        <x:f>IFERROR(J118/I118,0)</x:f>
        <x:v>0.11235955056179775</x:v>
      </x:c>
      <x:c r="Q118" s="30" t="n">
        <x:f>IFERROR(K118/J118,0)</x:f>
        <x:v>0.525</x:v>
      </x:c>
      <x:c r="R118" s="30" t="n">
        <x:f>IFERROR(L118/K118,0)</x:f>
        <x:v>0.5714285714285714</x:v>
      </x:c>
      <x:c r="S118" s="28" t="n">
        <x:f>IFERROR(N118/J118,0)</x:f>
        <x:v>785.63875</x:v>
      </x:c>
      <x:c r="T118" s="28" t="n">
        <x:f>IFERROR(N118/K118,0)</x:f>
        <x:v>1496.4547619047619</x:v>
      </x:c>
      <x:c r="U118" s="28" t="n">
        <x:f>IFERROR(N118/L118,0)</x:f>
        <x:v>2618.795833333333</x:v>
      </x:c>
    </x:row>
    <x:row r="119">
      <x:c r="A119" t="n">
        <x:v>118</x:v>
      </x:c>
      <x:c r="B119" s="26" t="n">
        <x:v>46052</x:v>
      </x:c>
      <x:c r="C119" t="str">
        <x:v>CPO_Salario</x:v>
      </x:c>
      <x:c r="D119" t="str">
        <x:v>Meta Ads</x:v>
      </x:c>
      <x:c r="E119" t="str">
        <x:v>Assalariado</x:v>
      </x:c>
      <x:c r="F119" t="str">
        <x:v>Luanda</x:v>
      </x:c>
      <x:c r="G119" t="str">
        <x:v>Desktop</x:v>
      </x:c>
      <x:c r="H119" t="n">
        <x:v>24523</x:v>
      </x:c>
      <x:c r="I119" t="n">
        <x:v>434</x:v>
      </x:c>
      <x:c r="J119" t="n">
        <x:v>60</x:v>
      </x:c>
      <x:c r="K119" t="n">
        <x:v>39</x:v>
      </x:c>
      <x:c r="L119" t="n">
        <x:v>22</x:v>
      </x:c>
      <x:c r="M119" s="28" t="n">
        <x:v>43968837.56</x:v>
      </x:c>
      <x:c r="N119" s="28" t="n">
        <x:v>52816.61</x:v>
      </x:c>
      <x:c r="O119" s="30" t="n">
        <x:f>IFERROR(I119/H119,0)</x:f>
        <x:v>0.01769767157362476</x:v>
      </x:c>
      <x:c r="P119" s="30" t="n">
        <x:f>IFERROR(J119/I119,0)</x:f>
        <x:v>0.1382488479262673</x:v>
      </x:c>
      <x:c r="Q119" s="30" t="n">
        <x:f>IFERROR(K119/J119,0)</x:f>
        <x:v>0.65</x:v>
      </x:c>
      <x:c r="R119" s="30" t="n">
        <x:f>IFERROR(L119/K119,0)</x:f>
        <x:v>0.5641025641025641</x:v>
      </x:c>
      <x:c r="S119" s="28" t="n">
        <x:f>IFERROR(N119/J119,0)</x:f>
        <x:v>880.2768333333333</x:v>
      </x:c>
      <x:c r="T119" s="28" t="n">
        <x:f>IFERROR(N119/K119,0)</x:f>
        <x:v>1354.2720512820513</x:v>
      </x:c>
      <x:c r="U119" s="28" t="n">
        <x:f>IFERROR(N119/L119,0)</x:f>
        <x:v>2400.755</x:v>
      </x:c>
    </x:row>
    <x:row r="120">
      <x:c r="A120" t="n">
        <x:v>119</x:v>
      </x:c>
      <x:c r="B120" s="26" t="n">
        <x:v>46052</x:v>
      </x:c>
      <x:c r="C120" t="str">
        <x:v>CPO_Always_On</x:v>
      </x:c>
      <x:c r="D120" t="str">
        <x:v>Meta Ads</x:v>
      </x:c>
      <x:c r="E120" t="str">
        <x:v>Funcionário Público</x:v>
      </x:c>
      <x:c r="F120" t="str">
        <x:v>Huambo</x:v>
      </x:c>
      <x:c r="G120" t="str">
        <x:v>Android</x:v>
      </x:c>
      <x:c r="H120" t="n">
        <x:v>11910</x:v>
      </x:c>
      <x:c r="I120" t="n">
        <x:v>140</x:v>
      </x:c>
      <x:c r="J120" t="n">
        <x:v>18</x:v>
      </x:c>
      <x:c r="K120" t="n">
        <x:v>12</x:v>
      </x:c>
      <x:c r="L120" t="n">
        <x:v>10</x:v>
      </x:c>
      <x:c r="M120" s="28" t="n">
        <x:v>14260982.86</x:v>
      </x:c>
      <x:c r="N120" s="28" t="n">
        <x:v>10229.18</x:v>
      </x:c>
      <x:c r="O120" s="30" t="n">
        <x:f>IFERROR(I120/H120,0)</x:f>
        <x:v>0.011754827875734676</x:v>
      </x:c>
      <x:c r="P120" s="30" t="n">
        <x:f>IFERROR(J120/I120,0)</x:f>
        <x:v>0.12857142857142856</x:v>
      </x:c>
      <x:c r="Q120" s="30" t="n">
        <x:f>IFERROR(K120/J120,0)</x:f>
        <x:v>0.6666666666666666</x:v>
      </x:c>
      <x:c r="R120" s="30" t="n">
        <x:f>IFERROR(L120/K120,0)</x:f>
        <x:v>0.8333333333333334</x:v>
      </x:c>
      <x:c r="S120" s="28" t="n">
        <x:f>IFERROR(N120/J120,0)</x:f>
        <x:v>568.2877777777778</x:v>
      </x:c>
      <x:c r="T120" s="28" t="n">
        <x:f>IFERROR(N120/K120,0)</x:f>
        <x:v>852.4316666666667</x:v>
      </x:c>
      <x:c r="U120" s="28" t="n">
        <x:f>IFERROR(N120/L120,0)</x:f>
        <x:v>1022.918</x:v>
      </x:c>
    </x:row>
    <x:row r="121">
      <x:c r="A121" t="n">
        <x:v>120</x:v>
      </x:c>
      <x:c r="B121" s="26" t="n">
        <x:v>46053</x:v>
      </x:c>
      <x:c r="C121" t="str">
        <x:v>CPO_Salario</x:v>
      </x:c>
      <x:c r="D121" t="str">
        <x:v>Meta Ads</x:v>
      </x:c>
      <x:c r="E121" t="str">
        <x:v>Funcionário Público</x:v>
      </x:c>
      <x:c r="F121" t="str">
        <x:v>Huíla</x:v>
      </x:c>
      <x:c r="G121" t="str">
        <x:v>Android</x:v>
      </x:c>
      <x:c r="H121" t="n">
        <x:v>22662</x:v>
      </x:c>
      <x:c r="I121" t="n">
        <x:v>529</x:v>
      </x:c>
      <x:c r="J121" t="n">
        <x:v>58</x:v>
      </x:c>
      <x:c r="K121" t="n">
        <x:v>38</x:v>
      </x:c>
      <x:c r="L121" t="n">
        <x:v>30</x:v>
      </x:c>
      <x:c r="M121" s="28" t="n">
        <x:v>51042818.1</x:v>
      </x:c>
      <x:c r="N121" s="28" t="n">
        <x:v>46766.16</x:v>
      </x:c>
      <x:c r="O121" s="30" t="n">
        <x:f>IFERROR(I121/H121,0)</x:f>
        <x:v>0.023343041214367664</x:v>
      </x:c>
      <x:c r="P121" s="30" t="n">
        <x:f>IFERROR(J121/I121,0)</x:f>
        <x:v>0.10964083175803403</x:v>
      </x:c>
      <x:c r="Q121" s="30" t="n">
        <x:f>IFERROR(K121/J121,0)</x:f>
        <x:v>0.6551724137931034</x:v>
      </x:c>
      <x:c r="R121" s="30" t="n">
        <x:f>IFERROR(L121/K121,0)</x:f>
        <x:v>0.7894736842105263</x:v>
      </x:c>
      <x:c r="S121" s="28" t="n">
        <x:f>IFERROR(N121/J121,0)</x:f>
        <x:v>806.3131034482759</x:v>
      </x:c>
      <x:c r="T121" s="28" t="n">
        <x:f>IFERROR(N121/K121,0)</x:f>
        <x:v>1230.6884210526316</x:v>
      </x:c>
      <x:c r="U121" s="28" t="n">
        <x:f>IFERROR(N121/L121,0)</x:f>
        <x:v>1558.872</x:v>
      </x:c>
    </x:row>
    <x:row r="122">
      <x:c r="A122" t="n">
        <x:v>121</x:v>
      </x:c>
      <x:c r="B122" s="26" t="n">
        <x:v>46053</x:v>
      </x:c>
      <x:c r="C122" t="str">
        <x:v>CPO_Fim_do_Mes</x:v>
      </x:c>
      <x:c r="D122" t="str">
        <x:v>BAI Directo/App</x:v>
      </x:c>
      <x:c r="E122" t="str">
        <x:v>Premium</x:v>
      </x:c>
      <x:c r="F122" t="str">
        <x:v>Benguela</x:v>
      </x:c>
      <x:c r="G122" t="str">
        <x:v>Android</x:v>
      </x:c>
      <x:c r="H122" t="n">
        <x:v>6334</x:v>
      </x:c>
      <x:c r="I122" t="n">
        <x:v>795</x:v>
      </x:c>
      <x:c r="J122" t="n">
        <x:v>107</x:v>
      </x:c>
      <x:c r="K122" t="n">
        <x:v>66</x:v>
      </x:c>
      <x:c r="L122" t="n">
        <x:v>63</x:v>
      </x:c>
      <x:c r="M122" s="28" t="n">
        <x:v>333198410.28</x:v>
      </x:c>
      <x:c r="N122" s="28" t="n">
        <x:v>20451.54</x:v>
      </x:c>
      <x:c r="O122" s="30" t="n">
        <x:f>IFERROR(I122/H122,0)</x:f>
        <x:v>0.1255131038838017</x:v>
      </x:c>
      <x:c r="P122" s="30" t="n">
        <x:f>IFERROR(J122/I122,0)</x:f>
        <x:v>0.13459119496855346</x:v>
      </x:c>
      <x:c r="Q122" s="30" t="n">
        <x:f>IFERROR(K122/J122,0)</x:f>
        <x:v>0.616822429906542</x:v>
      </x:c>
      <x:c r="R122" s="30" t="n">
        <x:f>IFERROR(L122/K122,0)</x:f>
        <x:v>0.9545454545454546</x:v>
      </x:c>
      <x:c r="S122" s="28" t="n">
        <x:f>IFERROR(N122/J122,0)</x:f>
        <x:v>191.1358878504673</x:v>
      </x:c>
      <x:c r="T122" s="28" t="n">
        <x:f>IFERROR(N122/K122,0)</x:f>
        <x:v>309.8718181818182</x:v>
      </x:c>
      <x:c r="U122" s="28" t="n">
        <x:f>IFERROR(N122/L122,0)</x:f>
        <x:v>324.6276190476191</x:v>
      </x:c>
    </x:row>
    <x:row r="123">
      <x:c r="A123" t="n">
        <x:v>122</x:v>
      </x:c>
      <x:c r="B123" s="26" t="n">
        <x:v>46053</x:v>
      </x:c>
      <x:c r="C123" t="str">
        <x:v>CPO_Digital_360</x:v>
      </x:c>
      <x:c r="D123" t="str">
        <x:v>E-mail</x:v>
      </x:c>
      <x:c r="E123" t="str">
        <x:v>Pequeno Negócio</x:v>
      </x:c>
      <x:c r="F123" t="str">
        <x:v>Benguela</x:v>
      </x:c>
      <x:c r="G123" t="str">
        <x:v>Android</x:v>
      </x:c>
      <x:c r="H123" t="n">
        <x:v>9900</x:v>
      </x:c>
      <x:c r="I123" t="n">
        <x:v>622</x:v>
      </x:c>
      <x:c r="J123" t="n">
        <x:v>60</x:v>
      </x:c>
      <x:c r="K123" t="n">
        <x:v>29</x:v>
      </x:c>
      <x:c r="L123" t="n">
        <x:v>14</x:v>
      </x:c>
      <x:c r="M123" s="28" t="n">
        <x:v>38063815.92</x:v>
      </x:c>
      <x:c r="N123" s="28" t="n">
        <x:v>153871.9</x:v>
      </x:c>
      <x:c r="O123" s="30" t="n">
        <x:f>IFERROR(I123/H123,0)</x:f>
        <x:v>0.06282828282828283</x:v>
      </x:c>
      <x:c r="P123" s="30" t="n">
        <x:f>IFERROR(J123/I123,0)</x:f>
        <x:v>0.09646302250803858</x:v>
      </x:c>
      <x:c r="Q123" s="30" t="n">
        <x:f>IFERROR(K123/J123,0)</x:f>
        <x:v>0.48333333333333334</x:v>
      </x:c>
      <x:c r="R123" s="30" t="n">
        <x:f>IFERROR(L123/K123,0)</x:f>
        <x:v>0.4827586206896552</x:v>
      </x:c>
      <x:c r="S123" s="28" t="n">
        <x:f>IFERROR(N123/J123,0)</x:f>
        <x:v>2564.5316666666668</x:v>
      </x:c>
      <x:c r="T123" s="28" t="n">
        <x:f>IFERROR(N123/K123,0)</x:f>
        <x:v>5305.927586206896</x:v>
      </x:c>
      <x:c r="U123" s="28" t="n">
        <x:f>IFERROR(N123/L123,0)</x:f>
        <x:v>10990.85</x:v>
      </x:c>
    </x:row>
    <x:row r="124">
      <x:c r="A124" t="n">
        <x:v>123</x:v>
      </x:c>
      <x:c r="B124" s="26" t="n">
        <x:v>46054</x:v>
      </x:c>
      <x:c r="C124" t="str">
        <x:v>CPO_Salario</x:v>
      </x:c>
      <x:c r="D124" t="str">
        <x:v>SMS</x:v>
      </x:c>
      <x:c r="E124" t="str">
        <x:v>Pequeno Negócio</x:v>
      </x:c>
      <x:c r="F124" t="str">
        <x:v>Luanda</x:v>
      </x:c>
      <x:c r="G124" t="str">
        <x:v>Android</x:v>
      </x:c>
      <x:c r="H124" t="n">
        <x:v>11891</x:v>
      </x:c>
      <x:c r="I124" t="n">
        <x:v>841</x:v>
      </x:c>
      <x:c r="J124" t="n">
        <x:v>112</x:v>
      </x:c>
      <x:c r="K124" t="n">
        <x:v>46</x:v>
      </x:c>
      <x:c r="L124" t="n">
        <x:v>29</x:v>
      </x:c>
      <x:c r="M124" s="28" t="n">
        <x:v>87721064.42</x:v>
      </x:c>
      <x:c r="N124" s="28" t="n">
        <x:v>108033.18</x:v>
      </x:c>
      <x:c r="O124" s="30" t="n">
        <x:f>IFERROR(I124/H124,0)</x:f>
        <x:v>0.07072575897737785</x:v>
      </x:c>
      <x:c r="P124" s="30" t="n">
        <x:f>IFERROR(J124/I124,0)</x:f>
        <x:v>0.13317479191438764</x:v>
      </x:c>
      <x:c r="Q124" s="30" t="n">
        <x:f>IFERROR(K124/J124,0)</x:f>
        <x:v>0.4107142857142857</x:v>
      </x:c>
      <x:c r="R124" s="30" t="n">
        <x:f>IFERROR(L124/K124,0)</x:f>
        <x:v>0.6304347826086957</x:v>
      </x:c>
      <x:c r="S124" s="28" t="n">
        <x:f>IFERROR(N124/J124,0)</x:f>
        <x:v>964.5819642857142</x:v>
      </x:c>
      <x:c r="T124" s="28" t="n">
        <x:f>IFERROR(N124/K124,0)</x:f>
        <x:v>2348.5473913043475</x:v>
      </x:c>
      <x:c r="U124" s="28" t="n">
        <x:f>IFERROR(N124/L124,0)</x:f>
        <x:v>3725.282068965517</x:v>
      </x:c>
    </x:row>
    <x:row r="125">
      <x:c r="A125" t="n">
        <x:v>124</x:v>
      </x:c>
      <x:c r="B125" s="26" t="n">
        <x:v>46054</x:v>
      </x:c>
      <x:c r="C125" t="str">
        <x:v>CPO_Digital_360</x:v>
      </x:c>
      <x:c r="D125" t="str">
        <x:v>BAI Directo/App</x:v>
      </x:c>
      <x:c r="E125" t="str">
        <x:v>Assalariado</x:v>
      </x:c>
      <x:c r="F125" t="str">
        <x:v>Luanda</x:v>
      </x:c>
      <x:c r="G125" t="str">
        <x:v>iOS</x:v>
      </x:c>
      <x:c r="H125" t="n">
        <x:v>9628</x:v>
      </x:c>
      <x:c r="I125" t="n">
        <x:v>757</x:v>
      </x:c>
      <x:c r="J125" t="n">
        <x:v>168</x:v>
      </x:c>
      <x:c r="K125" t="n">
        <x:v>115</x:v>
      </x:c>
      <x:c r="L125" t="n">
        <x:v>85</x:v>
      </x:c>
      <x:c r="M125" s="28" t="n">
        <x:v>187009351.32</x:v>
      </x:c>
      <x:c r="N125" s="28" t="n">
        <x:v>48492.73</x:v>
      </x:c>
      <x:c r="O125" s="30" t="n">
        <x:f>IFERROR(I125/H125,0)</x:f>
        <x:v>0.07862484420440383</x:v>
      </x:c>
      <x:c r="P125" s="30" t="n">
        <x:f>IFERROR(J125/I125,0)</x:f>
        <x:v>0.22192866578599735</x:v>
      </x:c>
      <x:c r="Q125" s="30" t="n">
        <x:f>IFERROR(K125/J125,0)</x:f>
        <x:v>0.6845238095238095</x:v>
      </x:c>
      <x:c r="R125" s="30" t="n">
        <x:f>IFERROR(L125/K125,0)</x:f>
        <x:v>0.7391304347826086</x:v>
      </x:c>
      <x:c r="S125" s="28" t="n">
        <x:f>IFERROR(N125/J125,0)</x:f>
        <x:v>288.6472023809524</x:v>
      </x:c>
      <x:c r="T125" s="28" t="n">
        <x:f>IFERROR(N125/K125,0)</x:f>
        <x:v>421.67591304347826</x:v>
      </x:c>
      <x:c r="U125" s="28" t="n">
        <x:f>IFERROR(N125/L125,0)</x:f>
        <x:v>570.502705882353</x:v>
      </x:c>
    </x:row>
    <x:row r="126">
      <x:c r="A126" t="n">
        <x:v>125</x:v>
      </x:c>
      <x:c r="B126" s="26" t="n">
        <x:v>46054</x:v>
      </x:c>
      <x:c r="C126" t="str">
        <x:v>CPO_Always_On</x:v>
      </x:c>
      <x:c r="D126" t="str">
        <x:v>Google Ads</x:v>
      </x:c>
      <x:c r="E126" t="str">
        <x:v>Funcionário Público</x:v>
      </x:c>
      <x:c r="F126" t="str">
        <x:v>Cuanza Sul</x:v>
      </x:c>
      <x:c r="G126" t="str">
        <x:v>Desktop</x:v>
      </x:c>
      <x:c r="H126" t="n">
        <x:v>22305</x:v>
      </x:c>
      <x:c r="I126" t="n">
        <x:v>346</x:v>
      </x:c>
      <x:c r="J126" t="n">
        <x:v>68</x:v>
      </x:c>
      <x:c r="K126" t="n">
        <x:v>45</x:v>
      </x:c>
      <x:c r="L126" t="n">
        <x:v>27</x:v>
      </x:c>
      <x:c r="M126" s="28" t="n">
        <x:v>49584575.11</x:v>
      </x:c>
      <x:c r="N126" s="28" t="n">
        <x:v>27873.25</x:v>
      </x:c>
      <x:c r="O126" s="30" t="n">
        <x:f>IFERROR(I126/H126,0)</x:f>
        <x:v>0.015512216991705895</x:v>
      </x:c>
      <x:c r="P126" s="30" t="n">
        <x:f>IFERROR(J126/I126,0)</x:f>
        <x:v>0.19653179190751446</x:v>
      </x:c>
      <x:c r="Q126" s="30" t="n">
        <x:f>IFERROR(K126/J126,0)</x:f>
        <x:v>0.6617647058823529</x:v>
      </x:c>
      <x:c r="R126" s="30" t="n">
        <x:f>IFERROR(L126/K126,0)</x:f>
        <x:v>0.6</x:v>
      </x:c>
      <x:c r="S126" s="28" t="n">
        <x:f>IFERROR(N126/J126,0)</x:f>
        <x:v>409.9007352941176</x:v>
      </x:c>
      <x:c r="T126" s="28" t="n">
        <x:f>IFERROR(N126/K126,0)</x:f>
        <x:v>619.4055555555556</x:v>
      </x:c>
      <x:c r="U126" s="28" t="n">
        <x:f>IFERROR(N126/L126,0)</x:f>
        <x:v>1032.3425925925926</x:v>
      </x:c>
    </x:row>
    <x:row r="127">
      <x:c r="A127" t="n">
        <x:v>126</x:v>
      </x:c>
      <x:c r="B127" s="26" t="n">
        <x:v>46054</x:v>
      </x:c>
      <x:c r="C127" t="str">
        <x:v>CPO_Fim_do_Mes</x:v>
      </x:c>
      <x:c r="D127" t="str">
        <x:v>BAI Directo/App</x:v>
      </x:c>
      <x:c r="E127" t="str">
        <x:v>Assalariado</x:v>
      </x:c>
      <x:c r="F127" t="str">
        <x:v>Huambo</x:v>
      </x:c>
      <x:c r="G127" t="str">
        <x:v>Android</x:v>
      </x:c>
      <x:c r="H127" t="n">
        <x:v>6019</x:v>
      </x:c>
      <x:c r="I127" t="n">
        <x:v>423</x:v>
      </x:c>
      <x:c r="J127" t="n">
        <x:v>66</x:v>
      </x:c>
      <x:c r="K127" t="n">
        <x:v>44</x:v>
      </x:c>
      <x:c r="L127" t="n">
        <x:v>29</x:v>
      </x:c>
      <x:c r="M127" s="28" t="n">
        <x:v>63514908.94</x:v>
      </x:c>
      <x:c r="N127" s="28" t="n">
        <x:v>100228.22</x:v>
      </x:c>
      <x:c r="O127" s="30" t="n">
        <x:f>IFERROR(I127/H127,0)</x:f>
        <x:v>0.07027745472669879</x:v>
      </x:c>
      <x:c r="P127" s="30" t="n">
        <x:f>IFERROR(J127/I127,0)</x:f>
        <x:v>0.15602836879432624</x:v>
      </x:c>
      <x:c r="Q127" s="30" t="n">
        <x:f>IFERROR(K127/J127,0)</x:f>
        <x:v>0.6666666666666666</x:v>
      </x:c>
      <x:c r="R127" s="30" t="n">
        <x:f>IFERROR(L127/K127,0)</x:f>
        <x:v>0.6590909090909091</x:v>
      </x:c>
      <x:c r="S127" s="28" t="n">
        <x:f>IFERROR(N127/J127,0)</x:f>
        <x:v>1518.609393939394</x:v>
      </x:c>
      <x:c r="T127" s="28" t="n">
        <x:f>IFERROR(N127/K127,0)</x:f>
        <x:v>2277.914090909091</x:v>
      </x:c>
      <x:c r="U127" s="28" t="n">
        <x:f>IFERROR(N127/L127,0)</x:f>
        <x:v>3456.1455172413794</x:v>
      </x:c>
    </x:row>
    <x:row r="128">
      <x:c r="A128" t="n">
        <x:v>127</x:v>
      </x:c>
      <x:c r="B128" s="26" t="n">
        <x:v>46054</x:v>
      </x:c>
      <x:c r="C128" t="str">
        <x:v>CPO_Salario</x:v>
      </x:c>
      <x:c r="D128" t="str">
        <x:v>BAI Directo/App</x:v>
      </x:c>
      <x:c r="E128" t="str">
        <x:v>Jovem Profissional</x:v>
      </x:c>
      <x:c r="F128" t="str">
        <x:v>Huíla</x:v>
      </x:c>
      <x:c r="G128" t="str">
        <x:v>Android</x:v>
      </x:c>
      <x:c r="H128" t="n">
        <x:v>5180</x:v>
      </x:c>
      <x:c r="I128" t="n">
        <x:v>399</x:v>
      </x:c>
      <x:c r="J128" t="n">
        <x:v>86</x:v>
      </x:c>
      <x:c r="K128" t="n">
        <x:v>42</x:v>
      </x:c>
      <x:c r="L128" t="n">
        <x:v>26</x:v>
      </x:c>
      <x:c r="M128" s="28" t="n">
        <x:v>33015182.49</x:v>
      </x:c>
      <x:c r="N128" s="28" t="n">
        <x:v>35945.97</x:v>
      </x:c>
      <x:c r="O128" s="30" t="n">
        <x:f>IFERROR(I128/H128,0)</x:f>
        <x:v>0.07702702702702703</x:v>
      </x:c>
      <x:c r="P128" s="30" t="n">
        <x:f>IFERROR(J128/I128,0)</x:f>
        <x:v>0.21553884711779447</x:v>
      </x:c>
      <x:c r="Q128" s="30" t="n">
        <x:f>IFERROR(K128/J128,0)</x:f>
        <x:v>0.4883720930232558</x:v>
      </x:c>
      <x:c r="R128" s="30" t="n">
        <x:f>IFERROR(L128/K128,0)</x:f>
        <x:v>0.6190476190476191</x:v>
      </x:c>
      <x:c r="S128" s="28" t="n">
        <x:f>IFERROR(N128/J128,0)</x:f>
        <x:v>417.97639534883723</x:v>
      </x:c>
      <x:c r="T128" s="28" t="n">
        <x:f>IFERROR(N128/K128,0)</x:f>
        <x:v>855.8564285714286</x:v>
      </x:c>
      <x:c r="U128" s="28" t="n">
        <x:f>IFERROR(N128/L128,0)</x:f>
        <x:v>1382.5373076923076</x:v>
      </x:c>
    </x:row>
    <x:row r="129">
      <x:c r="A129" t="n">
        <x:v>128</x:v>
      </x:c>
      <x:c r="B129" s="26" t="n">
        <x:v>46055</x:v>
      </x:c>
      <x:c r="C129" t="str">
        <x:v>CPO_Premium</x:v>
      </x:c>
      <x:c r="D129" t="str">
        <x:v>SMS</x:v>
      </x:c>
      <x:c r="E129" t="str">
        <x:v>Assalariado</x:v>
      </x:c>
      <x:c r="F129" t="str">
        <x:v>Luanda</x:v>
      </x:c>
      <x:c r="G129" t="str">
        <x:v>iOS</x:v>
      </x:c>
      <x:c r="H129" t="n">
        <x:v>6072</x:v>
      </x:c>
      <x:c r="I129" t="n">
        <x:v>413</x:v>
      </x:c>
      <x:c r="J129" t="n">
        <x:v>68</x:v>
      </x:c>
      <x:c r="K129" t="n">
        <x:v>45</x:v>
      </x:c>
      <x:c r="L129" t="n">
        <x:v>39</x:v>
      </x:c>
      <x:c r="M129" s="28" t="n">
        <x:v>80259464.58</x:v>
      </x:c>
      <x:c r="N129" s="28" t="n">
        <x:v>30047.95</x:v>
      </x:c>
      <x:c r="O129" s="30" t="n">
        <x:f>IFERROR(I129/H129,0)</x:f>
        <x:v>0.0680171277997365</x:v>
      </x:c>
      <x:c r="P129" s="30" t="n">
        <x:f>IFERROR(J129/I129,0)</x:f>
        <x:v>0.16464891041162227</x:v>
      </x:c>
      <x:c r="Q129" s="30" t="n">
        <x:f>IFERROR(K129/J129,0)</x:f>
        <x:v>0.6617647058823529</x:v>
      </x:c>
      <x:c r="R129" s="30" t="n">
        <x:f>IFERROR(L129/K129,0)</x:f>
        <x:v>0.8666666666666667</x:v>
      </x:c>
      <x:c r="S129" s="28" t="n">
        <x:f>IFERROR(N129/J129,0)</x:f>
        <x:v>441.8816176470588</x:v>
      </x:c>
      <x:c r="T129" s="28" t="n">
        <x:f>IFERROR(N129/K129,0)</x:f>
        <x:v>667.7322222222223</x:v>
      </x:c>
      <x:c r="U129" s="28" t="n">
        <x:f>IFERROR(N129/L129,0)</x:f>
        <x:v>770.4602564102564</x:v>
      </x:c>
    </x:row>
    <x:row r="130">
      <x:c r="A130" t="n">
        <x:v>129</x:v>
      </x:c>
      <x:c r="B130" s="26" t="n">
        <x:v>46055</x:v>
      </x:c>
      <x:c r="C130" t="str">
        <x:v>CPO_Acesso_Rapido</x:v>
      </x:c>
      <x:c r="D130" t="str">
        <x:v>BAI Directo/App</x:v>
      </x:c>
      <x:c r="E130" t="str">
        <x:v>Pequeno Negócio</x:v>
      </x:c>
      <x:c r="F130" t="str">
        <x:v>Cabinda</x:v>
      </x:c>
      <x:c r="G130" t="str">
        <x:v>Android</x:v>
      </x:c>
      <x:c r="H130" t="n">
        <x:v>3918</x:v>
      </x:c>
      <x:c r="I130" t="n">
        <x:v>429</x:v>
      </x:c>
      <x:c r="J130" t="n">
        <x:v>108</x:v>
      </x:c>
      <x:c r="K130" t="n">
        <x:v>57</x:v>
      </x:c>
      <x:c r="L130" t="n">
        <x:v>25</x:v>
      </x:c>
      <x:c r="M130" s="28" t="n">
        <x:v>80738592.54</x:v>
      </x:c>
      <x:c r="N130" s="28" t="n">
        <x:v>17824.18</x:v>
      </x:c>
      <x:c r="O130" s="30" t="n">
        <x:f>IFERROR(I130/H130,0)</x:f>
        <x:v>0.10949464012251149</x:v>
      </x:c>
      <x:c r="P130" s="30" t="n">
        <x:f>IFERROR(J130/I130,0)</x:f>
        <x:v>0.2517482517482518</x:v>
      </x:c>
      <x:c r="Q130" s="30" t="n">
        <x:f>IFERROR(K130/J130,0)</x:f>
        <x:v>0.5277777777777778</x:v>
      </x:c>
      <x:c r="R130" s="30" t="n">
        <x:f>IFERROR(L130/K130,0)</x:f>
        <x:v>0.43859649122807015</x:v>
      </x:c>
      <x:c r="S130" s="28" t="n">
        <x:f>IFERROR(N130/J130,0)</x:f>
        <x:v>165.0387037037037</x:v>
      </x:c>
      <x:c r="T130" s="28" t="n">
        <x:f>IFERROR(N130/K130,0)</x:f>
        <x:v>312.70491228070176</x:v>
      </x:c>
      <x:c r="U130" s="28" t="n">
        <x:f>IFERROR(N130/L130,0)</x:f>
        <x:v>712.9672</x:v>
      </x:c>
    </x:row>
    <x:row r="131">
      <x:c r="A131" t="n">
        <x:v>130</x:v>
      </x:c>
      <x:c r="B131" s="26" t="n">
        <x:v>46055</x:v>
      </x:c>
      <x:c r="C131" t="str">
        <x:v>CPO_Premium</x:v>
      </x:c>
      <x:c r="D131" t="str">
        <x:v>Meta Ads</x:v>
      </x:c>
      <x:c r="E131" t="str">
        <x:v>Assalariado</x:v>
      </x:c>
      <x:c r="F131" t="str">
        <x:v>Huíla</x:v>
      </x:c>
      <x:c r="G131" t="str">
        <x:v>Android</x:v>
      </x:c>
      <x:c r="H131" t="n">
        <x:v>3114</x:v>
      </x:c>
      <x:c r="I131" t="n">
        <x:v>48</x:v>
      </x:c>
      <x:c r="J131" t="n">
        <x:v>6</x:v>
      </x:c>
      <x:c r="K131" t="n">
        <x:v>4</x:v>
      </x:c>
      <x:c r="L131" t="n">
        <x:v>2</x:v>
      </x:c>
      <x:c r="M131" s="28" t="n">
        <x:v>2853655.7</x:v>
      </x:c>
      <x:c r="N131" s="28" t="n">
        <x:v>7032.38</x:v>
      </x:c>
      <x:c r="O131" s="30" t="n">
        <x:f>IFERROR(I131/H131,0)</x:f>
        <x:v>0.015414258188824663</x:v>
      </x:c>
      <x:c r="P131" s="30" t="n">
        <x:f>IFERROR(J131/I131,0)</x:f>
        <x:v>0.125</x:v>
      </x:c>
      <x:c r="Q131" s="30" t="n">
        <x:f>IFERROR(K131/J131,0)</x:f>
        <x:v>0.6666666666666666</x:v>
      </x:c>
      <x:c r="R131" s="30" t="n">
        <x:f>IFERROR(L131/K131,0)</x:f>
        <x:v>0.5</x:v>
      </x:c>
      <x:c r="S131" s="28" t="n">
        <x:f>IFERROR(N131/J131,0)</x:f>
        <x:v>1172.0633333333333</x:v>
      </x:c>
      <x:c r="T131" s="28" t="n">
        <x:f>IFERROR(N131/K131,0)</x:f>
        <x:v>1758.095</x:v>
      </x:c>
      <x:c r="U131" s="28" t="n">
        <x:f>IFERROR(N131/L131,0)</x:f>
        <x:v>3516.19</x:v>
      </x:c>
    </x:row>
    <x:row r="132">
      <x:c r="A132" t="n">
        <x:v>131</x:v>
      </x:c>
      <x:c r="B132" s="26" t="n">
        <x:v>46055</x:v>
      </x:c>
      <x:c r="C132" t="str">
        <x:v>CPO_Premium</x:v>
      </x:c>
      <x:c r="D132" t="str">
        <x:v>SMS</x:v>
      </x:c>
      <x:c r="E132" t="str">
        <x:v>Pequeno Negócio</x:v>
      </x:c>
      <x:c r="F132" t="str">
        <x:v>Luanda</x:v>
      </x:c>
      <x:c r="G132" t="str">
        <x:v>iOS</x:v>
      </x:c>
      <x:c r="H132" t="n">
        <x:v>8733</x:v>
      </x:c>
      <x:c r="I132" t="n">
        <x:v>632</x:v>
      </x:c>
      <x:c r="J132" t="n">
        <x:v>56</x:v>
      </x:c>
      <x:c r="K132" t="n">
        <x:v>28</x:v>
      </x:c>
      <x:c r="L132" t="n">
        <x:v>15</x:v>
      </x:c>
      <x:c r="M132" s="28" t="n">
        <x:v>40752389.28</x:v>
      </x:c>
      <x:c r="N132" s="28" t="n">
        <x:v>152075.44</x:v>
      </x:c>
      <x:c r="O132" s="30" t="n">
        <x:f>IFERROR(I132/H132,0)</x:f>
        <x:v>0.07236917439596931</x:v>
      </x:c>
      <x:c r="P132" s="30" t="n">
        <x:f>IFERROR(J132/I132,0)</x:f>
        <x:v>0.08860759493670886</x:v>
      </x:c>
      <x:c r="Q132" s="30" t="n">
        <x:f>IFERROR(K132/J132,0)</x:f>
        <x:v>0.5</x:v>
      </x:c>
      <x:c r="R132" s="30" t="n">
        <x:f>IFERROR(L132/K132,0)</x:f>
        <x:v>0.5357142857142857</x:v>
      </x:c>
      <x:c r="S132" s="28" t="n">
        <x:f>IFERROR(N132/J132,0)</x:f>
        <x:v>2715.632857142857</x:v>
      </x:c>
      <x:c r="T132" s="28" t="n">
        <x:f>IFERROR(N132/K132,0)</x:f>
        <x:v>5431.265714285714</x:v>
      </x:c>
      <x:c r="U132" s="28" t="n">
        <x:f>IFERROR(N132/L132,0)</x:f>
        <x:v>10138.362666666666</x:v>
      </x:c>
    </x:row>
    <x:row r="133">
      <x:c r="A133" t="n">
        <x:v>132</x:v>
      </x:c>
      <x:c r="B133" s="26" t="n">
        <x:v>46055</x:v>
      </x:c>
      <x:c r="C133" t="str">
        <x:v>CPO_Salario</x:v>
      </x:c>
      <x:c r="D133" t="str">
        <x:v>Meta Ads</x:v>
      </x:c>
      <x:c r="E133" t="str">
        <x:v>Funcionário Público</x:v>
      </x:c>
      <x:c r="F133" t="str">
        <x:v>Cabinda</x:v>
      </x:c>
      <x:c r="G133" t="str">
        <x:v>Android</x:v>
      </x:c>
      <x:c r="H133" t="n">
        <x:v>8287</x:v>
      </x:c>
      <x:c r="I133" t="n">
        <x:v>72</x:v>
      </x:c>
      <x:c r="J133" t="n">
        <x:v>7</x:v>
      </x:c>
      <x:c r="K133" t="n">
        <x:v>5</x:v>
      </x:c>
      <x:c r="L133" t="n">
        <x:v>3</x:v>
      </x:c>
      <x:c r="M133" s="28" t="n">
        <x:v>5114013.47</x:v>
      </x:c>
      <x:c r="N133" s="28" t="n">
        <x:v>12481.64</x:v>
      </x:c>
      <x:c r="O133" s="30" t="n">
        <x:f>IFERROR(I133/H133,0)</x:f>
        <x:v>0.008688306986846868</x:v>
      </x:c>
      <x:c r="P133" s="30" t="n">
        <x:f>IFERROR(J133/I133,0)</x:f>
        <x:v>0.09722222222222222</x:v>
      </x:c>
      <x:c r="Q133" s="30" t="n">
        <x:f>IFERROR(K133/J133,0)</x:f>
        <x:v>0.7142857142857143</x:v>
      </x:c>
      <x:c r="R133" s="30" t="n">
        <x:f>IFERROR(L133/K133,0)</x:f>
        <x:v>0.6</x:v>
      </x:c>
      <x:c r="S133" s="28" t="n">
        <x:f>IFERROR(N133/J133,0)</x:f>
        <x:v>1783.0914285714284</x:v>
      </x:c>
      <x:c r="T133" s="28" t="n">
        <x:f>IFERROR(N133/K133,0)</x:f>
        <x:v>2496.328</x:v>
      </x:c>
      <x:c r="U133" s="28" t="n">
        <x:f>IFERROR(N133/L133,0)</x:f>
        <x:v>4160.546666666666</x:v>
      </x:c>
    </x:row>
    <x:row r="134">
      <x:c r="A134" t="n">
        <x:v>133</x:v>
      </x:c>
      <x:c r="B134" s="26" t="n">
        <x:v>46056</x:v>
      </x:c>
      <x:c r="C134" t="str">
        <x:v>CPO_Always_On</x:v>
      </x:c>
      <x:c r="D134" t="str">
        <x:v>BAI Directo/App</x:v>
      </x:c>
      <x:c r="E134" t="str">
        <x:v>Jovem Profissional</x:v>
      </x:c>
      <x:c r="F134" t="str">
        <x:v>Luanda</x:v>
      </x:c>
      <x:c r="G134" t="str">
        <x:v>Android</x:v>
      </x:c>
      <x:c r="H134" t="n">
        <x:v>10614</x:v>
      </x:c>
      <x:c r="I134" t="n">
        <x:v>893</x:v>
      </x:c>
      <x:c r="J134" t="n">
        <x:v>190</x:v>
      </x:c>
      <x:c r="K134" t="n">
        <x:v>116</x:v>
      </x:c>
      <x:c r="L134" t="n">
        <x:v>70</x:v>
      </x:c>
      <x:c r="M134" s="28" t="n">
        <x:v>89555503.88</x:v>
      </x:c>
      <x:c r="N134" s="28" t="n">
        <x:v>77014.9</x:v>
      </x:c>
      <x:c r="O134" s="30" t="n">
        <x:f>IFERROR(I134/H134,0)</x:f>
        <x:v>0.08413416242698323</x:v>
      </x:c>
      <x:c r="P134" s="30" t="n">
        <x:f>IFERROR(J134/I134,0)</x:f>
        <x:v>0.2127659574468085</x:v>
      </x:c>
      <x:c r="Q134" s="30" t="n">
        <x:f>IFERROR(K134/J134,0)</x:f>
        <x:v>0.6105263157894737</x:v>
      </x:c>
      <x:c r="R134" s="30" t="n">
        <x:f>IFERROR(L134/K134,0)</x:f>
        <x:v>0.603448275862069</x:v>
      </x:c>
      <x:c r="S134" s="28" t="n">
        <x:f>IFERROR(N134/J134,0)</x:f>
        <x:v>405.3415789473684</x:v>
      </x:c>
      <x:c r="T134" s="28" t="n">
        <x:f>IFERROR(N134/K134,0)</x:f>
        <x:v>663.9215517241379</x:v>
      </x:c>
      <x:c r="U134" s="28" t="n">
        <x:f>IFERROR(N134/L134,0)</x:f>
        <x:v>1100.212857142857</x:v>
      </x:c>
    </x:row>
    <x:row r="135">
      <x:c r="A135" t="n">
        <x:v>134</x:v>
      </x:c>
      <x:c r="B135" s="26" t="n">
        <x:v>46056</x:v>
      </x:c>
      <x:c r="C135" t="str">
        <x:v>CPO_Always_On</x:v>
      </x:c>
      <x:c r="D135" t="str">
        <x:v>BAI Directo/App</x:v>
      </x:c>
      <x:c r="E135" t="str">
        <x:v>Funcionário Público</x:v>
      </x:c>
      <x:c r="F135" t="str">
        <x:v>Huambo</x:v>
      </x:c>
      <x:c r="G135" t="str">
        <x:v>Android</x:v>
      </x:c>
      <x:c r="H135" t="n">
        <x:v>5339</x:v>
      </x:c>
      <x:c r="I135" t="n">
        <x:v>420</x:v>
      </x:c>
      <x:c r="J135" t="n">
        <x:v>72</x:v>
      </x:c>
      <x:c r="K135" t="n">
        <x:v>50</x:v>
      </x:c>
      <x:c r="L135" t="n">
        <x:v>41</x:v>
      </x:c>
      <x:c r="M135" s="28" t="n">
        <x:v>72814333.14</x:v>
      </x:c>
      <x:c r="N135" s="28" t="n">
        <x:v>87699.42</x:v>
      </x:c>
      <x:c r="O135" s="30" t="n">
        <x:f>IFERROR(I135/H135,0)</x:f>
        <x:v>0.07866641693200974</x:v>
      </x:c>
      <x:c r="P135" s="30" t="n">
        <x:f>IFERROR(J135/I135,0)</x:f>
        <x:v>0.17142857142857143</x:v>
      </x:c>
      <x:c r="Q135" s="30" t="n">
        <x:f>IFERROR(K135/J135,0)</x:f>
        <x:v>0.6944444444444444</x:v>
      </x:c>
      <x:c r="R135" s="30" t="n">
        <x:f>IFERROR(L135/K135,0)</x:f>
        <x:v>0.82</x:v>
      </x:c>
      <x:c r="S135" s="28" t="n">
        <x:f>IFERROR(N135/J135,0)</x:f>
        <x:v>1218.0475</x:v>
      </x:c>
      <x:c r="T135" s="28" t="n">
        <x:f>IFERROR(N135/K135,0)</x:f>
        <x:v>1753.9884</x:v>
      </x:c>
      <x:c r="U135" s="28" t="n">
        <x:f>IFERROR(N135/L135,0)</x:f>
        <x:v>2139.010243902439</x:v>
      </x:c>
    </x:row>
    <x:row r="136">
      <x:c r="A136" t="n">
        <x:v>135</x:v>
      </x:c>
      <x:c r="B136" s="26" t="n">
        <x:v>46056</x:v>
      </x:c>
      <x:c r="C136" t="str">
        <x:v>CPO_Salario</x:v>
      </x:c>
      <x:c r="D136" t="str">
        <x:v>BAI Directo/App</x:v>
      </x:c>
      <x:c r="E136" t="str">
        <x:v>Funcionário Público</x:v>
      </x:c>
      <x:c r="F136" t="str">
        <x:v>Huíla</x:v>
      </x:c>
      <x:c r="G136" t="str">
        <x:v>Android</x:v>
      </x:c>
      <x:c r="H136" t="n">
        <x:v>11989</x:v>
      </x:c>
      <x:c r="I136" t="n">
        <x:v>1487</x:v>
      </x:c>
      <x:c r="J136" t="n">
        <x:v>288</x:v>
      </x:c>
      <x:c r="K136" t="n">
        <x:v>213</x:v>
      </x:c>
      <x:c r="L136" t="n">
        <x:v>158</x:v>
      </x:c>
      <x:c r="M136" s="28" t="n">
        <x:v>299691485.12</x:v>
      </x:c>
      <x:c r="N136" s="28" t="n">
        <x:v>39830.27</x:v>
      </x:c>
      <x:c r="O136" s="30" t="n">
        <x:f>IFERROR(I136/H136,0)</x:f>
        <x:v>0.12403036116440071</x:v>
      </x:c>
      <x:c r="P136" s="30" t="n">
        <x:f>IFERROR(J136/I136,0)</x:f>
        <x:v>0.1936785474108944</x:v>
      </x:c>
      <x:c r="Q136" s="30" t="n">
        <x:f>IFERROR(K136/J136,0)</x:f>
        <x:v>0.7395833333333334</x:v>
      </x:c>
      <x:c r="R136" s="30" t="n">
        <x:f>IFERROR(L136/K136,0)</x:f>
        <x:v>0.7417840375586855</x:v>
      </x:c>
      <x:c r="S136" s="28" t="n">
        <x:f>IFERROR(N136/J136,0)</x:f>
        <x:v>138.2995486111111</x:v>
      </x:c>
      <x:c r="T136" s="28" t="n">
        <x:f>IFERROR(N136/K136,0)</x:f>
        <x:v>186.99657276995305</x:v>
      </x:c>
      <x:c r="U136" s="28" t="n">
        <x:f>IFERROR(N136/L136,0)</x:f>
        <x:v>252.09031645569618</x:v>
      </x:c>
    </x:row>
    <x:row r="137">
      <x:c r="A137" t="n">
        <x:v>136</x:v>
      </x:c>
      <x:c r="B137" s="26" t="n">
        <x:v>46056</x:v>
      </x:c>
      <x:c r="C137" t="str">
        <x:v>CPO_Fim_do_Mes</x:v>
      </x:c>
      <x:c r="D137" t="str">
        <x:v>Google Ads</x:v>
      </x:c>
      <x:c r="E137" t="str">
        <x:v>Assalariado</x:v>
      </x:c>
      <x:c r="F137" t="str">
        <x:v>Luanda</x:v>
      </x:c>
      <x:c r="G137" t="str">
        <x:v>iOS</x:v>
      </x:c>
      <x:c r="H137" t="n">
        <x:v>23624</x:v>
      </x:c>
      <x:c r="I137" t="n">
        <x:v>624</x:v>
      </x:c>
      <x:c r="J137" t="n">
        <x:v>120</x:v>
      </x:c>
      <x:c r="K137" t="n">
        <x:v>73</x:v>
      </x:c>
      <x:c r="L137" t="n">
        <x:v>39</x:v>
      </x:c>
      <x:c r="M137" s="28" t="n">
        <x:v>86475679.46</x:v>
      </x:c>
      <x:c r="N137" s="28" t="n">
        <x:v>112323.12</x:v>
      </x:c>
      <x:c r="O137" s="30" t="n">
        <x:f>IFERROR(I137/H137,0)</x:f>
        <x:v>0.026413816457839485</x:v>
      </x:c>
      <x:c r="P137" s="30" t="n">
        <x:f>IFERROR(J137/I137,0)</x:f>
        <x:v>0.19230769230769232</x:v>
      </x:c>
      <x:c r="Q137" s="30" t="n">
        <x:f>IFERROR(K137/J137,0)</x:f>
        <x:v>0.6083333333333333</x:v>
      </x:c>
      <x:c r="R137" s="30" t="n">
        <x:f>IFERROR(L137/K137,0)</x:f>
        <x:v>0.5342465753424658</x:v>
      </x:c>
      <x:c r="S137" s="28" t="n">
        <x:f>IFERROR(N137/J137,0)</x:f>
        <x:v>936.026</x:v>
      </x:c>
      <x:c r="T137" s="28" t="n">
        <x:f>IFERROR(N137/K137,0)</x:f>
        <x:v>1538.6728767123286</x:v>
      </x:c>
      <x:c r="U137" s="28" t="n">
        <x:f>IFERROR(N137/L137,0)</x:f>
        <x:v>2880.08</x:v>
      </x:c>
    </x:row>
    <x:row r="138">
      <x:c r="A138" t="n">
        <x:v>137</x:v>
      </x:c>
      <x:c r="B138" s="26" t="n">
        <x:v>46057</x:v>
      </x:c>
      <x:c r="C138" t="str">
        <x:v>CPO_Fim_do_Mes</x:v>
      </x:c>
      <x:c r="D138" t="str">
        <x:v>SMS</x:v>
      </x:c>
      <x:c r="E138" t="str">
        <x:v>Premium</x:v>
      </x:c>
      <x:c r="F138" t="str">
        <x:v>Luanda</x:v>
      </x:c>
      <x:c r="G138" t="str">
        <x:v>Desktop</x:v>
      </x:c>
      <x:c r="H138" t="n">
        <x:v>9213</x:v>
      </x:c>
      <x:c r="I138" t="n">
        <x:v>810</x:v>
      </x:c>
      <x:c r="J138" t="n">
        <x:v>91</x:v>
      </x:c>
      <x:c r="K138" t="n">
        <x:v>75</x:v>
      </x:c>
      <x:c r="L138" t="n">
        <x:v>51</x:v>
      </x:c>
      <x:c r="M138" s="28" t="n">
        <x:v>265390428.9</x:v>
      </x:c>
      <x:c r="N138" s="28" t="n">
        <x:v>161737.99</x:v>
      </x:c>
      <x:c r="O138" s="30" t="n">
        <x:f>IFERROR(I138/H138,0)</x:f>
        <x:v>0.08791924454575056</x:v>
      </x:c>
      <x:c r="P138" s="30" t="n">
        <x:f>IFERROR(J138/I138,0)</x:f>
        <x:v>0.11234567901234568</x:v>
      </x:c>
      <x:c r="Q138" s="30" t="n">
        <x:f>IFERROR(K138/J138,0)</x:f>
        <x:v>0.8241758241758241</x:v>
      </x:c>
      <x:c r="R138" s="30" t="n">
        <x:f>IFERROR(L138/K138,0)</x:f>
        <x:v>0.68</x:v>
      </x:c>
      <x:c r="S138" s="28" t="n">
        <x:f>IFERROR(N138/J138,0)</x:f>
        <x:v>1777.3405494505494</x:v>
      </x:c>
      <x:c r="T138" s="28" t="n">
        <x:f>IFERROR(N138/K138,0)</x:f>
        <x:v>2156.506533333333</x:v>
      </x:c>
      <x:c r="U138" s="28" t="n">
        <x:f>IFERROR(N138/L138,0)</x:f>
        <x:v>3171.333137254902</x:v>
      </x:c>
    </x:row>
    <x:row r="139">
      <x:c r="A139" t="n">
        <x:v>138</x:v>
      </x:c>
      <x:c r="B139" s="26" t="n">
        <x:v>46057</x:v>
      </x:c>
      <x:c r="C139" t="str">
        <x:v>CPO_Acesso_Rapido</x:v>
      </x:c>
      <x:c r="D139" t="str">
        <x:v>SMS</x:v>
      </x:c>
      <x:c r="E139" t="str">
        <x:v>Funcionário Público</x:v>
      </x:c>
      <x:c r="F139" t="str">
        <x:v>Luanda</x:v>
      </x:c>
      <x:c r="G139" t="str">
        <x:v>Android</x:v>
      </x:c>
      <x:c r="H139" t="n">
        <x:v>3253</x:v>
      </x:c>
      <x:c r="I139" t="n">
        <x:v>295</x:v>
      </x:c>
      <x:c r="J139" t="n">
        <x:v>46</x:v>
      </x:c>
      <x:c r="K139" t="n">
        <x:v>39</x:v>
      </x:c>
      <x:c r="L139" t="n">
        <x:v>20</x:v>
      </x:c>
      <x:c r="M139" s="28" t="n">
        <x:v>36664054.69</x:v>
      </x:c>
      <x:c r="N139" s="28" t="n">
        <x:v>11068.66</x:v>
      </x:c>
      <x:c r="O139" s="30" t="n">
        <x:f>IFERROR(I139/H139,0)</x:f>
        <x:v>0.0906855210574854</x:v>
      </x:c>
      <x:c r="P139" s="30" t="n">
        <x:f>IFERROR(J139/I139,0)</x:f>
        <x:v>0.15593220338983052</x:v>
      </x:c>
      <x:c r="Q139" s="30" t="n">
        <x:f>IFERROR(K139/J139,0)</x:f>
        <x:v>0.8478260869565217</x:v>
      </x:c>
      <x:c r="R139" s="30" t="n">
        <x:f>IFERROR(L139/K139,0)</x:f>
        <x:v>0.5128205128205128</x:v>
      </x:c>
      <x:c r="S139" s="28" t="n">
        <x:f>IFERROR(N139/J139,0)</x:f>
        <x:v>240.62304347826085</x:v>
      </x:c>
      <x:c r="T139" s="28" t="n">
        <x:f>IFERROR(N139/K139,0)</x:f>
        <x:v>283.81179487179486</x:v>
      </x:c>
      <x:c r="U139" s="28" t="n">
        <x:f>IFERROR(N139/L139,0)</x:f>
        <x:v>553.433</x:v>
      </x:c>
    </x:row>
    <x:row r="140">
      <x:c r="A140" t="n">
        <x:v>139</x:v>
      </x:c>
      <x:c r="B140" s="26" t="n">
        <x:v>46057</x:v>
      </x:c>
      <x:c r="C140" t="str">
        <x:v>CPO_Always_On</x:v>
      </x:c>
      <x:c r="D140" t="str">
        <x:v>Meta Ads</x:v>
      </x:c>
      <x:c r="E140" t="str">
        <x:v>Jovem Profissional</x:v>
      </x:c>
      <x:c r="F140" t="str">
        <x:v>Luanda</x:v>
      </x:c>
      <x:c r="G140" t="str">
        <x:v>Desktop</x:v>
      </x:c>
      <x:c r="H140" t="n">
        <x:v>17984</x:v>
      </x:c>
      <x:c r="I140" t="n">
        <x:v>421</x:v>
      </x:c>
      <x:c r="J140" t="n">
        <x:v>55</x:v>
      </x:c>
      <x:c r="K140" t="n">
        <x:v>29</x:v>
      </x:c>
      <x:c r="L140" t="n">
        <x:v>18</x:v>
      </x:c>
      <x:c r="M140" s="28" t="n">
        <x:v>24053100.48</x:v>
      </x:c>
      <x:c r="N140" s="28" t="n">
        <x:v>54452.1</x:v>
      </x:c>
      <x:c r="O140" s="30" t="n">
        <x:f>IFERROR(I140/H140,0)</x:f>
        <x:v>0.023409697508896796</x:v>
      </x:c>
      <x:c r="P140" s="30" t="n">
        <x:f>IFERROR(J140/I140,0)</x:f>
        <x:v>0.13064133016627077</x:v>
      </x:c>
      <x:c r="Q140" s="30" t="n">
        <x:f>IFERROR(K140/J140,0)</x:f>
        <x:v>0.5272727272727272</x:v>
      </x:c>
      <x:c r="R140" s="30" t="n">
        <x:f>IFERROR(L140/K140,0)</x:f>
        <x:v>0.6206896551724138</x:v>
      </x:c>
      <x:c r="S140" s="28" t="n">
        <x:f>IFERROR(N140/J140,0)</x:f>
        <x:v>990.0381818181818</x:v>
      </x:c>
      <x:c r="T140" s="28" t="n">
        <x:f>IFERROR(N140/K140,0)</x:f>
        <x:v>1877.6586206896552</x:v>
      </x:c>
      <x:c r="U140" s="28" t="n">
        <x:f>IFERROR(N140/L140,0)</x:f>
        <x:v>3025.116666666667</x:v>
      </x:c>
    </x:row>
    <x:row r="141">
      <x:c r="A141" t="n">
        <x:v>140</x:v>
      </x:c>
      <x:c r="B141" s="26" t="n">
        <x:v>46058</x:v>
      </x:c>
      <x:c r="C141" t="str">
        <x:v>CPO_Salario</x:v>
      </x:c>
      <x:c r="D141" t="str">
        <x:v>TikTok Ads</x:v>
      </x:c>
      <x:c r="E141" t="str">
        <x:v>Funcionário Público</x:v>
      </x:c>
      <x:c r="F141" t="str">
        <x:v>Uíge</x:v>
      </x:c>
      <x:c r="G141" t="str">
        <x:v>Android</x:v>
      </x:c>
      <x:c r="H141" t="n">
        <x:v>4233</x:v>
      </x:c>
      <x:c r="I141" t="n">
        <x:v>61</x:v>
      </x:c>
      <x:c r="J141" t="n">
        <x:v>6</x:v>
      </x:c>
      <x:c r="K141" t="n">
        <x:v>5</x:v>
      </x:c>
      <x:c r="L141" t="n">
        <x:v>3</x:v>
      </x:c>
      <x:c r="M141" s="28" t="n">
        <x:v>6547212.02</x:v>
      </x:c>
      <x:c r="N141" s="28" t="n">
        <x:v>9524.18</x:v>
      </x:c>
      <x:c r="O141" s="30" t="n">
        <x:f>IFERROR(I141/H141,0)</x:f>
        <x:v>0.014410583510512638</x:v>
      </x:c>
      <x:c r="P141" s="30" t="n">
        <x:f>IFERROR(J141/I141,0)</x:f>
        <x:v>0.09836065573770492</x:v>
      </x:c>
      <x:c r="Q141" s="30" t="n">
        <x:f>IFERROR(K141/J141,0)</x:f>
        <x:v>0.8333333333333334</x:v>
      </x:c>
      <x:c r="R141" s="30" t="n">
        <x:f>IFERROR(L141/K141,0)</x:f>
        <x:v>0.6</x:v>
      </x:c>
      <x:c r="S141" s="28" t="n">
        <x:f>IFERROR(N141/J141,0)</x:f>
        <x:v>1587.3633333333335</x:v>
      </x:c>
      <x:c r="T141" s="28" t="n">
        <x:f>IFERROR(N141/K141,0)</x:f>
        <x:v>1904.836</x:v>
      </x:c>
      <x:c r="U141" s="28" t="n">
        <x:f>IFERROR(N141/L141,0)</x:f>
        <x:v>3174.726666666667</x:v>
      </x:c>
    </x:row>
    <x:row r="142">
      <x:c r="A142" t="n">
        <x:v>141</x:v>
      </x:c>
      <x:c r="B142" s="26" t="n">
        <x:v>46058</x:v>
      </x:c>
      <x:c r="C142" t="str">
        <x:v>CPO_Digital_360</x:v>
      </x:c>
      <x:c r="D142" t="str">
        <x:v>Google Ads</x:v>
      </x:c>
      <x:c r="E142" t="str">
        <x:v>Assalariado</x:v>
      </x:c>
      <x:c r="F142" t="str">
        <x:v>Huíla</x:v>
      </x:c>
      <x:c r="G142" t="str">
        <x:v>Android</x:v>
      </x:c>
      <x:c r="H142" t="n">
        <x:v>12861</x:v>
      </x:c>
      <x:c r="I142" t="n">
        <x:v>358</x:v>
      </x:c>
      <x:c r="J142" t="n">
        <x:v>65</x:v>
      </x:c>
      <x:c r="K142" t="n">
        <x:v>38</x:v>
      </x:c>
      <x:c r="L142" t="n">
        <x:v>24</x:v>
      </x:c>
      <x:c r="M142" s="28" t="n">
        <x:v>52333808.45</x:v>
      </x:c>
      <x:c r="N142" s="28" t="n">
        <x:v>58616.23</x:v>
      </x:c>
      <x:c r="O142" s="30" t="n">
        <x:f>IFERROR(I142/H142,0)</x:f>
        <x:v>0.027836093616359536</x:v>
      </x:c>
      <x:c r="P142" s="30" t="n">
        <x:f>IFERROR(J142/I142,0)</x:f>
        <x:v>0.18156424581005587</x:v>
      </x:c>
      <x:c r="Q142" s="30" t="n">
        <x:f>IFERROR(K142/J142,0)</x:f>
        <x:v>0.5846153846153846</x:v>
      </x:c>
      <x:c r="R142" s="30" t="n">
        <x:f>IFERROR(L142/K142,0)</x:f>
        <x:v>0.631578947368421</x:v>
      </x:c>
      <x:c r="S142" s="28" t="n">
        <x:f>IFERROR(N142/J142,0)</x:f>
        <x:v>901.7881538461539</x:v>
      </x:c>
      <x:c r="T142" s="28" t="n">
        <x:f>IFERROR(N142/K142,0)</x:f>
        <x:v>1542.5323684210528</x:v>
      </x:c>
      <x:c r="U142" s="28" t="n">
        <x:f>IFERROR(N142/L142,0)</x:f>
        <x:v>2442.342916666667</x:v>
      </x:c>
    </x:row>
    <x:row r="143">
      <x:c r="A143" t="n">
        <x:v>142</x:v>
      </x:c>
      <x:c r="B143" s="26" t="n">
        <x:v>46058</x:v>
      </x:c>
      <x:c r="C143" t="str">
        <x:v>CPO_Salario</x:v>
      </x:c>
      <x:c r="D143" t="str">
        <x:v>Meta Ads</x:v>
      </x:c>
      <x:c r="E143" t="str">
        <x:v>Funcionário Público</x:v>
      </x:c>
      <x:c r="F143" t="str">
        <x:v>Luanda</x:v>
      </x:c>
      <x:c r="G143" t="str">
        <x:v>iOS</x:v>
      </x:c>
      <x:c r="H143" t="n">
        <x:v>16981</x:v>
      </x:c>
      <x:c r="I143" t="n">
        <x:v>330</x:v>
      </x:c>
      <x:c r="J143" t="n">
        <x:v>43</x:v>
      </x:c>
      <x:c r="K143" t="n">
        <x:v>28</x:v>
      </x:c>
      <x:c r="L143" t="n">
        <x:v>20</x:v>
      </x:c>
      <x:c r="M143" s="28" t="n">
        <x:v>36821774.67</x:v>
      </x:c>
      <x:c r="N143" s="28" t="n">
        <x:v>20540.43</x:v>
      </x:c>
      <x:c r="O143" s="30" t="n">
        <x:f>IFERROR(I143/H143,0)</x:f>
        <x:v>0.01943348448265709</x:v>
      </x:c>
      <x:c r="P143" s="30" t="n">
        <x:f>IFERROR(J143/I143,0)</x:f>
        <x:v>0.1303030303030303</x:v>
      </x:c>
      <x:c r="Q143" s="30" t="n">
        <x:f>IFERROR(K143/J143,0)</x:f>
        <x:v>0.6511627906976745</x:v>
      </x:c>
      <x:c r="R143" s="30" t="n">
        <x:f>IFERROR(L143/K143,0)</x:f>
        <x:v>0.7142857142857143</x:v>
      </x:c>
      <x:c r="S143" s="28" t="n">
        <x:f>IFERROR(N143/J143,0)</x:f>
        <x:v>477.68441860465117</x:v>
      </x:c>
      <x:c r="T143" s="28" t="n">
        <x:f>IFERROR(N143/K143,0)</x:f>
        <x:v>733.5867857142857</x:v>
      </x:c>
      <x:c r="U143" s="28" t="n">
        <x:f>IFERROR(N143/L143,0)</x:f>
        <x:v>1027.0215</x:v>
      </x:c>
    </x:row>
    <x:row r="144">
      <x:c r="A144" t="n">
        <x:v>143</x:v>
      </x:c>
      <x:c r="B144" s="26" t="n">
        <x:v>46059</x:v>
      </x:c>
      <x:c r="C144" t="str">
        <x:v>CPO_Acesso_Rapido</x:v>
      </x:c>
      <x:c r="D144" t="str">
        <x:v>Meta Ads</x:v>
      </x:c>
      <x:c r="E144" t="str">
        <x:v>Assalariado</x:v>
      </x:c>
      <x:c r="F144" t="str">
        <x:v>Luanda</x:v>
      </x:c>
      <x:c r="G144" t="str">
        <x:v>Android</x:v>
      </x:c>
      <x:c r="H144" t="n">
        <x:v>6556</x:v>
      </x:c>
      <x:c r="I144" t="n">
        <x:v>124</x:v>
      </x:c>
      <x:c r="J144" t="n">
        <x:v>15</x:v>
      </x:c>
      <x:c r="K144" t="n">
        <x:v>10</x:v>
      </x:c>
      <x:c r="L144" t="n">
        <x:v>7</x:v>
      </x:c>
      <x:c r="M144" s="28" t="n">
        <x:v>15181332.61</x:v>
      </x:c>
      <x:c r="N144" s="28" t="n">
        <x:v>8466.82</x:v>
      </x:c>
      <x:c r="O144" s="30" t="n">
        <x:f>IFERROR(I144/H144,0)</x:f>
        <x:v>0.018913971934106162</x:v>
      </x:c>
      <x:c r="P144" s="30" t="n">
        <x:f>IFERROR(J144/I144,0)</x:f>
        <x:v>0.12096774193548387</x:v>
      </x:c>
      <x:c r="Q144" s="30" t="n">
        <x:f>IFERROR(K144/J144,0)</x:f>
        <x:v>0.6666666666666666</x:v>
      </x:c>
      <x:c r="R144" s="30" t="n">
        <x:f>IFERROR(L144/K144,0)</x:f>
        <x:v>0.7</x:v>
      </x:c>
      <x:c r="S144" s="28" t="n">
        <x:f>IFERROR(N144/J144,0)</x:f>
        <x:v>564.4546666666666</x:v>
      </x:c>
      <x:c r="T144" s="28" t="n">
        <x:f>IFERROR(N144/K144,0)</x:f>
        <x:v>846.682</x:v>
      </x:c>
      <x:c r="U144" s="28" t="n">
        <x:f>IFERROR(N144/L144,0)</x:f>
        <x:v>1209.5457142857142</x:v>
      </x:c>
    </x:row>
    <x:row r="145">
      <x:c r="A145" t="n">
        <x:v>144</x:v>
      </x:c>
      <x:c r="B145" s="26" t="n">
        <x:v>46059</x:v>
      </x:c>
      <x:c r="C145" t="str">
        <x:v>CPO_Acesso_Rapido</x:v>
      </x:c>
      <x:c r="D145" t="str">
        <x:v>E-mail</x:v>
      </x:c>
      <x:c r="E145" t="str">
        <x:v>Pequeno Negócio</x:v>
      </x:c>
      <x:c r="F145" t="str">
        <x:v>Luanda</x:v>
      </x:c>
      <x:c r="G145" t="str">
        <x:v>Android</x:v>
      </x:c>
      <x:c r="H145" t="n">
        <x:v>10372</x:v>
      </x:c>
      <x:c r="I145" t="n">
        <x:v>583</x:v>
      </x:c>
      <x:c r="J145" t="n">
        <x:v>45</x:v>
      </x:c>
      <x:c r="K145" t="n">
        <x:v>18</x:v>
      </x:c>
      <x:c r="L145" t="n">
        <x:v>5</x:v>
      </x:c>
      <x:c r="M145" s="28" t="n">
        <x:v>20681043.62</x:v>
      </x:c>
      <x:c r="N145" s="28" t="n">
        <x:v>163560.76</x:v>
      </x:c>
      <x:c r="O145" s="30" t="n">
        <x:f>IFERROR(I145/H145,0)</x:f>
        <x:v>0.05620902429618203</x:v>
      </x:c>
      <x:c r="P145" s="30" t="n">
        <x:f>IFERROR(J145/I145,0)</x:f>
        <x:v>0.07718696397941681</x:v>
      </x:c>
      <x:c r="Q145" s="30" t="n">
        <x:f>IFERROR(K145/J145,0)</x:f>
        <x:v>0.4</x:v>
      </x:c>
      <x:c r="R145" s="30" t="n">
        <x:f>IFERROR(L145/K145,0)</x:f>
        <x:v>0.2777777777777778</x:v>
      </x:c>
      <x:c r="S145" s="28" t="n">
        <x:f>IFERROR(N145/J145,0)</x:f>
        <x:v>3634.683555555556</x:v>
      </x:c>
      <x:c r="T145" s="28" t="n">
        <x:f>IFERROR(N145/K145,0)</x:f>
        <x:v>9086.70888888889</x:v>
      </x:c>
      <x:c r="U145" s="28" t="n">
        <x:f>IFERROR(N145/L145,0)</x:f>
        <x:v>32712.152000000002</x:v>
      </x:c>
    </x:row>
    <x:row r="146">
      <x:c r="A146" t="n">
        <x:v>145</x:v>
      </x:c>
      <x:c r="B146" s="26" t="n">
        <x:v>46059</x:v>
      </x:c>
      <x:c r="C146" t="str">
        <x:v>CPO_Always_On</x:v>
      </x:c>
      <x:c r="D146" t="str">
        <x:v>SMS</x:v>
      </x:c>
      <x:c r="E146" t="str">
        <x:v>Premium</x:v>
      </x:c>
      <x:c r="F146" t="str">
        <x:v>Huambo</x:v>
      </x:c>
      <x:c r="G146" t="str">
        <x:v>Android</x:v>
      </x:c>
      <x:c r="H146" t="n">
        <x:v>2658</x:v>
      </x:c>
      <x:c r="I146" t="n">
        <x:v>175</x:v>
      </x:c>
      <x:c r="J146" t="n">
        <x:v>24</x:v>
      </x:c>
      <x:c r="K146" t="n">
        <x:v>19</x:v>
      </x:c>
      <x:c r="L146" t="n">
        <x:v>14</x:v>
      </x:c>
      <x:c r="M146" s="28" t="n">
        <x:v>73406992.36</x:v>
      </x:c>
      <x:c r="N146" s="28" t="n">
        <x:v>20413.72</x:v>
      </x:c>
      <x:c r="O146" s="30" t="n">
        <x:f>IFERROR(I146/H146,0)</x:f>
        <x:v>0.06583897667419113</x:v>
      </x:c>
      <x:c r="P146" s="30" t="n">
        <x:f>IFERROR(J146/I146,0)</x:f>
        <x:v>0.13714285714285715</x:v>
      </x:c>
      <x:c r="Q146" s="30" t="n">
        <x:f>IFERROR(K146/J146,0)</x:f>
        <x:v>0.7916666666666666</x:v>
      </x:c>
      <x:c r="R146" s="30" t="n">
        <x:f>IFERROR(L146/K146,0)</x:f>
        <x:v>0.7368421052631579</x:v>
      </x:c>
      <x:c r="S146" s="28" t="n">
        <x:f>IFERROR(N146/J146,0)</x:f>
        <x:v>850.5716666666667</x:v>
      </x:c>
      <x:c r="T146" s="28" t="n">
        <x:f>IFERROR(N146/K146,0)</x:f>
        <x:v>1074.4063157894736</x:v>
      </x:c>
      <x:c r="U146" s="28" t="n">
        <x:f>IFERROR(N146/L146,0)</x:f>
        <x:v>1458.1228571428571</x:v>
      </x:c>
    </x:row>
    <x:row r="147">
      <x:c r="A147" t="n">
        <x:v>146</x:v>
      </x:c>
      <x:c r="B147" s="26" t="n">
        <x:v>46059</x:v>
      </x:c>
      <x:c r="C147" t="str">
        <x:v>CPO_Premium</x:v>
      </x:c>
      <x:c r="D147" t="str">
        <x:v>SMS</x:v>
      </x:c>
      <x:c r="E147" t="str">
        <x:v>Jovem Profissional</x:v>
      </x:c>
      <x:c r="F147" t="str">
        <x:v>Benguela</x:v>
      </x:c>
      <x:c r="G147" t="str">
        <x:v>Android</x:v>
      </x:c>
      <x:c r="H147" t="n">
        <x:v>3993</x:v>
      </x:c>
      <x:c r="I147" t="n">
        <x:v>438</x:v>
      </x:c>
      <x:c r="J147" t="n">
        <x:v>70</x:v>
      </x:c>
      <x:c r="K147" t="n">
        <x:v>30</x:v>
      </x:c>
      <x:c r="L147" t="n">
        <x:v>19</x:v>
      </x:c>
      <x:c r="M147" s="28" t="n">
        <x:v>24104767.47</x:v>
      </x:c>
      <x:c r="N147" s="28" t="n">
        <x:v>36193.89</x:v>
      </x:c>
      <x:c r="O147" s="30" t="n">
        <x:f>IFERROR(I147/H147,0)</x:f>
        <x:v>0.10969196093163035</x:v>
      </x:c>
      <x:c r="P147" s="30" t="n">
        <x:f>IFERROR(J147/I147,0)</x:f>
        <x:v>0.1598173515981735</x:v>
      </x:c>
      <x:c r="Q147" s="30" t="n">
        <x:f>IFERROR(K147/J147,0)</x:f>
        <x:v>0.42857142857142855</x:v>
      </x:c>
      <x:c r="R147" s="30" t="n">
        <x:f>IFERROR(L147/K147,0)</x:f>
        <x:v>0.6333333333333333</x:v>
      </x:c>
      <x:c r="S147" s="28" t="n">
        <x:f>IFERROR(N147/J147,0)</x:f>
        <x:v>517.0555714285714</x:v>
      </x:c>
      <x:c r="T147" s="28" t="n">
        <x:f>IFERROR(N147/K147,0)</x:f>
        <x:v>1206.463</x:v>
      </x:c>
      <x:c r="U147" s="28" t="n">
        <x:f>IFERROR(N147/L147,0)</x:f>
        <x:v>1904.9415789473685</x:v>
      </x:c>
    </x:row>
    <x:row r="148">
      <x:c r="A148" t="n">
        <x:v>147</x:v>
      </x:c>
      <x:c r="B148" s="26" t="n">
        <x:v>46060</x:v>
      </x:c>
      <x:c r="C148" t="str">
        <x:v>CPO_Fim_do_Mes</x:v>
      </x:c>
      <x:c r="D148" t="str">
        <x:v>SMS</x:v>
      </x:c>
      <x:c r="E148" t="str">
        <x:v>Funcionário Público</x:v>
      </x:c>
      <x:c r="F148" t="str">
        <x:v>Luanda</x:v>
      </x:c>
      <x:c r="G148" t="str">
        <x:v>iOS</x:v>
      </x:c>
      <x:c r="H148" t="n">
        <x:v>10626</x:v>
      </x:c>
      <x:c r="I148" t="n">
        <x:v>853</x:v>
      </x:c>
      <x:c r="J148" t="n">
        <x:v>146</x:v>
      </x:c>
      <x:c r="K148" t="n">
        <x:v>96</x:v>
      </x:c>
      <x:c r="L148" t="n">
        <x:v>60</x:v>
      </x:c>
      <x:c r="M148" s="28" t="n">
        <x:v>101274776.88</x:v>
      </x:c>
      <x:c r="N148" s="28" t="n">
        <x:v>130212.02</x:v>
      </x:c>
      <x:c r="O148" s="30" t="n">
        <x:f>IFERROR(I148/H148,0)</x:f>
        <x:v>0.08027479766610202</x:v>
      </x:c>
      <x:c r="P148" s="30" t="n">
        <x:f>IFERROR(J148/I148,0)</x:f>
        <x:v>0.17116060961313012</x:v>
      </x:c>
      <x:c r="Q148" s="30" t="n">
        <x:f>IFERROR(K148/J148,0)</x:f>
        <x:v>0.6575342465753424</x:v>
      </x:c>
      <x:c r="R148" s="30" t="n">
        <x:f>IFERROR(L148/K148,0)</x:f>
        <x:v>0.625</x:v>
      </x:c>
      <x:c r="S148" s="28" t="n">
        <x:f>IFERROR(N148/J148,0)</x:f>
        <x:v>891.8631506849315</x:v>
      </x:c>
      <x:c r="T148" s="28" t="n">
        <x:f>IFERROR(N148/K148,0)</x:f>
        <x:v>1356.3752083333334</x:v>
      </x:c>
      <x:c r="U148" s="28" t="n">
        <x:f>IFERROR(N148/L148,0)</x:f>
        <x:v>2170.200333333333</x:v>
      </x:c>
    </x:row>
    <x:row r="149">
      <x:c r="A149" t="n">
        <x:v>148</x:v>
      </x:c>
      <x:c r="B149" s="26" t="n">
        <x:v>46060</x:v>
      </x:c>
      <x:c r="C149" t="str">
        <x:v>CPO_Acesso_Rapido</x:v>
      </x:c>
      <x:c r="D149" t="str">
        <x:v>TikTok Ads</x:v>
      </x:c>
      <x:c r="E149" t="str">
        <x:v>Premium</x:v>
      </x:c>
      <x:c r="F149" t="str">
        <x:v>Luanda</x:v>
      </x:c>
      <x:c r="G149" t="str">
        <x:v>Android</x:v>
      </x:c>
      <x:c r="H149" t="n">
        <x:v>6700</x:v>
      </x:c>
      <x:c r="I149" t="n">
        <x:v>111</x:v>
      </x:c>
      <x:c r="J149" t="n">
        <x:v>8</x:v>
      </x:c>
      <x:c r="K149" t="n">
        <x:v>6</x:v>
      </x:c>
      <x:c r="L149" t="n">
        <x:v>4</x:v>
      </x:c>
      <x:c r="M149" s="28" t="n">
        <x:v>23153152.28</x:v>
      </x:c>
      <x:c r="N149" s="28" t="n">
        <x:v>10746.81</x:v>
      </x:c>
      <x:c r="O149" s="30" t="n">
        <x:f>IFERROR(I149/H149,0)</x:f>
        <x:v>0.016567164179104477</x:v>
      </x:c>
      <x:c r="P149" s="30" t="n">
        <x:f>IFERROR(J149/I149,0)</x:f>
        <x:v>0.07207207207207207</x:v>
      </x:c>
      <x:c r="Q149" s="30" t="n">
        <x:f>IFERROR(K149/J149,0)</x:f>
        <x:v>0.75</x:v>
      </x:c>
      <x:c r="R149" s="30" t="n">
        <x:f>IFERROR(L149/K149,0)</x:f>
        <x:v>0.6666666666666666</x:v>
      </x:c>
      <x:c r="S149" s="28" t="n">
        <x:f>IFERROR(N149/J149,0)</x:f>
        <x:v>1343.35125</x:v>
      </x:c>
      <x:c r="T149" s="28" t="n">
        <x:f>IFERROR(N149/K149,0)</x:f>
        <x:v>1791.135</x:v>
      </x:c>
      <x:c r="U149" s="28" t="n">
        <x:f>IFERROR(N149/L149,0)</x:f>
        <x:v>2686.7025</x:v>
      </x:c>
    </x:row>
    <x:row r="150">
      <x:c r="A150" t="n">
        <x:v>149</x:v>
      </x:c>
      <x:c r="B150" s="26" t="n">
        <x:v>46060</x:v>
      </x:c>
      <x:c r="C150" t="str">
        <x:v>CPO_Always_On</x:v>
      </x:c>
      <x:c r="D150" t="str">
        <x:v>TikTok Ads</x:v>
      </x:c>
      <x:c r="E150" t="str">
        <x:v>Assalariado</x:v>
      </x:c>
      <x:c r="F150" t="str">
        <x:v>Huíla</x:v>
      </x:c>
      <x:c r="G150" t="str">
        <x:v>Android</x:v>
      </x:c>
      <x:c r="H150" t="n">
        <x:v>12726</x:v>
      </x:c>
      <x:c r="I150" t="n">
        <x:v>114</x:v>
      </x:c>
      <x:c r="J150" t="n">
        <x:v>7</x:v>
      </x:c>
      <x:c r="K150" t="n">
        <x:v>5</x:v>
      </x:c>
      <x:c r="L150" t="n">
        <x:v>4</x:v>
      </x:c>
      <x:c r="M150" s="28" t="n">
        <x:v>9180875.14</x:v>
      </x:c>
      <x:c r="N150" s="28" t="n">
        <x:v>19401.48</x:v>
      </x:c>
      <x:c r="O150" s="30" t="n">
        <x:f>IFERROR(I150/H150,0)</x:f>
        <x:v>0.008958038661008957</x:v>
      </x:c>
      <x:c r="P150" s="30" t="n">
        <x:f>IFERROR(J150/I150,0)</x:f>
        <x:v>0.06140350877192982</x:v>
      </x:c>
      <x:c r="Q150" s="30" t="n">
        <x:f>IFERROR(K150/J150,0)</x:f>
        <x:v>0.7142857142857143</x:v>
      </x:c>
      <x:c r="R150" s="30" t="n">
        <x:f>IFERROR(L150/K150,0)</x:f>
        <x:v>0.8</x:v>
      </x:c>
      <x:c r="S150" s="28" t="n">
        <x:f>IFERROR(N150/J150,0)</x:f>
        <x:v>2771.64</x:v>
      </x:c>
      <x:c r="T150" s="28" t="n">
        <x:f>IFERROR(N150/K150,0)</x:f>
        <x:v>3880.296</x:v>
      </x:c>
      <x:c r="U150" s="28" t="n">
        <x:f>IFERROR(N150/L150,0)</x:f>
        <x:v>4850.37</x:v>
      </x:c>
    </x:row>
    <x:row r="151">
      <x:c r="A151" t="n">
        <x:v>150</x:v>
      </x:c>
      <x:c r="B151" s="26" t="n">
        <x:v>46061</x:v>
      </x:c>
      <x:c r="C151" t="str">
        <x:v>CPO_Fim_do_Mes</x:v>
      </x:c>
      <x:c r="D151" t="str">
        <x:v>E-mail</x:v>
      </x:c>
      <x:c r="E151" t="str">
        <x:v>Funcionário Público</x:v>
      </x:c>
      <x:c r="F151" t="str">
        <x:v>Luanda</x:v>
      </x:c>
      <x:c r="G151" t="str">
        <x:v>iOS</x:v>
      </x:c>
      <x:c r="H151" t="n">
        <x:v>1264</x:v>
      </x:c>
      <x:c r="I151" t="n">
        <x:v>84</x:v>
      </x:c>
      <x:c r="J151" t="n">
        <x:v>8</x:v>
      </x:c>
      <x:c r="K151" t="n">
        <x:v>5</x:v>
      </x:c>
      <x:c r="L151" t="n">
        <x:v>4</x:v>
      </x:c>
      <x:c r="M151" s="28" t="n">
        <x:v>6346963.66</x:v>
      </x:c>
      <x:c r="N151" s="28" t="n">
        <x:v>13324.49</x:v>
      </x:c>
      <x:c r="O151" s="30" t="n">
        <x:f>IFERROR(I151/H151,0)</x:f>
        <x:v>0.06645569620253164</x:v>
      </x:c>
      <x:c r="P151" s="30" t="n">
        <x:f>IFERROR(J151/I151,0)</x:f>
        <x:v>0.09523809523809523</x:v>
      </x:c>
      <x:c r="Q151" s="30" t="n">
        <x:f>IFERROR(K151/J151,0)</x:f>
        <x:v>0.625</x:v>
      </x:c>
      <x:c r="R151" s="30" t="n">
        <x:f>IFERROR(L151/K151,0)</x:f>
        <x:v>0.8</x:v>
      </x:c>
      <x:c r="S151" s="28" t="n">
        <x:f>IFERROR(N151/J151,0)</x:f>
        <x:v>1665.56125</x:v>
      </x:c>
      <x:c r="T151" s="28" t="n">
        <x:f>IFERROR(N151/K151,0)</x:f>
        <x:v>2664.898</x:v>
      </x:c>
      <x:c r="U151" s="28" t="n">
        <x:f>IFERROR(N151/L151,0)</x:f>
        <x:v>3331.1225</x:v>
      </x:c>
    </x:row>
    <x:row r="152">
      <x:c r="A152" t="n">
        <x:v>151</x:v>
      </x:c>
      <x:c r="B152" s="26" t="n">
        <x:v>46061</x:v>
      </x:c>
      <x:c r="C152" t="str">
        <x:v>CPO_Premium</x:v>
      </x:c>
      <x:c r="D152" t="str">
        <x:v>BAI Directo/App</x:v>
      </x:c>
      <x:c r="E152" t="str">
        <x:v>Premium</x:v>
      </x:c>
      <x:c r="F152" t="str">
        <x:v>Luanda</x:v>
      </x:c>
      <x:c r="G152" t="str">
        <x:v>Android</x:v>
      </x:c>
      <x:c r="H152" t="n">
        <x:v>4205</x:v>
      </x:c>
      <x:c r="I152" t="n">
        <x:v>265</x:v>
      </x:c>
      <x:c r="J152" t="n">
        <x:v>56</x:v>
      </x:c>
      <x:c r="K152" t="n">
        <x:v>43</x:v>
      </x:c>
      <x:c r="L152" t="n">
        <x:v>25</x:v>
      </x:c>
      <x:c r="M152" s="28" t="n">
        <x:v>129017397.56</x:v>
      </x:c>
      <x:c r="N152" s="28" t="n">
        <x:v>24006.4</x:v>
      </x:c>
      <x:c r="O152" s="30" t="n">
        <x:f>IFERROR(I152/H152,0)</x:f>
        <x:v>0.06302021403091558</x:v>
      </x:c>
      <x:c r="P152" s="30" t="n">
        <x:f>IFERROR(J152/I152,0)</x:f>
        <x:v>0.21132075471698114</x:v>
      </x:c>
      <x:c r="Q152" s="30" t="n">
        <x:f>IFERROR(K152/J152,0)</x:f>
        <x:v>0.7678571428571429</x:v>
      </x:c>
      <x:c r="R152" s="30" t="n">
        <x:f>IFERROR(L152/K152,0)</x:f>
        <x:v>0.5813953488372093</x:v>
      </x:c>
      <x:c r="S152" s="28" t="n">
        <x:f>IFERROR(N152/J152,0)</x:f>
        <x:v>428.6857142857143</x:v>
      </x:c>
      <x:c r="T152" s="28" t="n">
        <x:f>IFERROR(N152/K152,0)</x:f>
        <x:v>558.2883720930233</x:v>
      </x:c>
      <x:c r="U152" s="28" t="n">
        <x:f>IFERROR(N152/L152,0)</x:f>
        <x:v>960.2560000000001</x:v>
      </x:c>
    </x:row>
    <x:row r="153">
      <x:c r="A153" t="n">
        <x:v>152</x:v>
      </x:c>
      <x:c r="B153" s="26" t="n">
        <x:v>46061</x:v>
      </x:c>
      <x:c r="C153" t="str">
        <x:v>CPO_Salario</x:v>
      </x:c>
      <x:c r="D153" t="str">
        <x:v>Meta Ads</x:v>
      </x:c>
      <x:c r="E153" t="str">
        <x:v>Pequeno Negócio</x:v>
      </x:c>
      <x:c r="F153" t="str">
        <x:v>Cuanza Sul</x:v>
      </x:c>
      <x:c r="G153" t="str">
        <x:v>Android</x:v>
      </x:c>
      <x:c r="H153" t="n">
        <x:v>24153</x:v>
      </x:c>
      <x:c r="I153" t="n">
        <x:v>509</x:v>
      </x:c>
      <x:c r="J153" t="n">
        <x:v>72</x:v>
      </x:c>
      <x:c r="K153" t="n">
        <x:v>30</x:v>
      </x:c>
      <x:c r="L153" t="n">
        <x:v>8</x:v>
      </x:c>
      <x:c r="M153" s="28" t="n">
        <x:v>19317167.8</x:v>
      </x:c>
      <x:c r="N153" s="28" t="n">
        <x:v>33809.22</x:v>
      </x:c>
      <x:c r="O153" s="30" t="n">
        <x:f>IFERROR(I153/H153,0)</x:f>
        <x:v>0.021073986668322775</x:v>
      </x:c>
      <x:c r="P153" s="30" t="n">
        <x:f>IFERROR(J153/I153,0)</x:f>
        <x:v>0.14145383104125736</x:v>
      </x:c>
      <x:c r="Q153" s="30" t="n">
        <x:f>IFERROR(K153/J153,0)</x:f>
        <x:v>0.4166666666666667</x:v>
      </x:c>
      <x:c r="R153" s="30" t="n">
        <x:f>IFERROR(L153/K153,0)</x:f>
        <x:v>0.26666666666666666</x:v>
      </x:c>
      <x:c r="S153" s="28" t="n">
        <x:f>IFERROR(N153/J153,0)</x:f>
        <x:v>469.5725</x:v>
      </x:c>
      <x:c r="T153" s="28" t="n">
        <x:f>IFERROR(N153/K153,0)</x:f>
        <x:v>1126.974</x:v>
      </x:c>
      <x:c r="U153" s="28" t="n">
        <x:f>IFERROR(N153/L153,0)</x:f>
        <x:v>4226.1525</x:v>
      </x:c>
    </x:row>
    <x:row r="154">
      <x:c r="A154" t="n">
        <x:v>153</x:v>
      </x:c>
      <x:c r="B154" s="26" t="n">
        <x:v>46061</x:v>
      </x:c>
      <x:c r="C154" t="str">
        <x:v>CPO_Acesso_Rapido</x:v>
      </x:c>
      <x:c r="D154" t="str">
        <x:v>Google Ads</x:v>
      </x:c>
      <x:c r="E154" t="str">
        <x:v>Premium</x:v>
      </x:c>
      <x:c r="F154" t="str">
        <x:v>Cuanza Sul</x:v>
      </x:c>
      <x:c r="G154" t="str">
        <x:v>Android</x:v>
      </x:c>
      <x:c r="H154" t="n">
        <x:v>23272</x:v>
      </x:c>
      <x:c r="I154" t="n">
        <x:v>700</x:v>
      </x:c>
      <x:c r="J154" t="n">
        <x:v>118</x:v>
      </x:c>
      <x:c r="K154" t="n">
        <x:v>94</x:v>
      </x:c>
      <x:c r="L154" t="n">
        <x:v>77</x:v>
      </x:c>
      <x:c r="M154" s="28" t="n">
        <x:v>408520262.9</x:v>
      </x:c>
      <x:c r="N154" s="28" t="n">
        <x:v>101604.27</x:v>
      </x:c>
      <x:c r="O154" s="30" t="n">
        <x:f>IFERROR(I154/H154,0)</x:f>
        <x:v>0.030079064970780337</x:v>
      </x:c>
      <x:c r="P154" s="30" t="n">
        <x:f>IFERROR(J154/I154,0)</x:f>
        <x:v>0.16857142857142857</x:v>
      </x:c>
      <x:c r="Q154" s="30" t="n">
        <x:f>IFERROR(K154/J154,0)</x:f>
        <x:v>0.7966101694915254</x:v>
      </x:c>
      <x:c r="R154" s="30" t="n">
        <x:f>IFERROR(L154/K154,0)</x:f>
        <x:v>0.8191489361702128</x:v>
      </x:c>
      <x:c r="S154" s="28" t="n">
        <x:f>IFERROR(N154/J154,0)</x:f>
        <x:v>861.0531355932204</x:v>
      </x:c>
      <x:c r="T154" s="28" t="n">
        <x:f>IFERROR(N154/K154,0)</x:f>
        <x:v>1080.8964893617022</x:v>
      </x:c>
      <x:c r="U154" s="28" t="n">
        <x:f>IFERROR(N154/L154,0)</x:f>
        <x:v>1319.5359740259742</x:v>
      </x:c>
    </x:row>
    <x:row r="155">
      <x:c r="A155" t="n">
        <x:v>154</x:v>
      </x:c>
      <x:c r="B155" s="26" t="n">
        <x:v>46061</x:v>
      </x:c>
      <x:c r="C155" t="str">
        <x:v>CPO_Always_On</x:v>
      </x:c>
      <x:c r="D155" t="str">
        <x:v>BAI Directo/App</x:v>
      </x:c>
      <x:c r="E155" t="str">
        <x:v>Jovem Profissional</x:v>
      </x:c>
      <x:c r="F155" t="str">
        <x:v>Luanda</x:v>
      </x:c>
      <x:c r="G155" t="str">
        <x:v>Android</x:v>
      </x:c>
      <x:c r="H155" t="n">
        <x:v>6845</x:v>
      </x:c>
      <x:c r="I155" t="n">
        <x:v>960</x:v>
      </x:c>
      <x:c r="J155" t="n">
        <x:v>170</x:v>
      </x:c>
      <x:c r="K155" t="n">
        <x:v>83</x:v>
      </x:c>
      <x:c r="L155" t="n">
        <x:v>46</x:v>
      </x:c>
      <x:c r="M155" s="28" t="n">
        <x:v>61982555.97</x:v>
      </x:c>
      <x:c r="N155" s="28" t="n">
        <x:v>99349.09</x:v>
      </x:c>
      <x:c r="O155" s="30" t="n">
        <x:f>IFERROR(I155/H155,0)</x:f>
        <x:v>0.14024835646457268</x:v>
      </x:c>
      <x:c r="P155" s="30" t="n">
        <x:f>IFERROR(J155/I155,0)</x:f>
        <x:v>0.17708333333333334</x:v>
      </x:c>
      <x:c r="Q155" s="30" t="n">
        <x:f>IFERROR(K155/J155,0)</x:f>
        <x:v>0.48823529411764705</x:v>
      </x:c>
      <x:c r="R155" s="30" t="n">
        <x:f>IFERROR(L155/K155,0)</x:f>
        <x:v>0.5542168674698795</x:v>
      </x:c>
      <x:c r="S155" s="28" t="n">
        <x:f>IFERROR(N155/J155,0)</x:f>
        <x:v>584.4064117647058</x:v>
      </x:c>
      <x:c r="T155" s="28" t="n">
        <x:f>IFERROR(N155/K155,0)</x:f>
        <x:v>1196.9769879518071</x:v>
      </x:c>
      <x:c r="U155" s="28" t="n">
        <x:f>IFERROR(N155/L155,0)</x:f>
        <x:v>2159.7628260869565</x:v>
      </x:c>
    </x:row>
    <x:row r="156">
      <x:c r="A156" t="n">
        <x:v>155</x:v>
      </x:c>
      <x:c r="B156" s="26" t="n">
        <x:v>46062</x:v>
      </x:c>
      <x:c r="C156" t="str">
        <x:v>CPO_Digital_360</x:v>
      </x:c>
      <x:c r="D156" t="str">
        <x:v>Google Ads</x:v>
      </x:c>
      <x:c r="E156" t="str">
        <x:v>Pequeno Negócio</x:v>
      </x:c>
      <x:c r="F156" t="str">
        <x:v>Huambo</x:v>
      </x:c>
      <x:c r="G156" t="str">
        <x:v>iOS</x:v>
      </x:c>
      <x:c r="H156" t="n">
        <x:v>17294</x:v>
      </x:c>
      <x:c r="I156" t="n">
        <x:v>346</x:v>
      </x:c>
      <x:c r="J156" t="n">
        <x:v>58</x:v>
      </x:c>
      <x:c r="K156" t="n">
        <x:v>25</x:v>
      </x:c>
      <x:c r="L156" t="n">
        <x:v>16</x:v>
      </x:c>
      <x:c r="M156" s="28" t="n">
        <x:v>53158079.48</x:v>
      </x:c>
      <x:c r="N156" s="28" t="n">
        <x:v>50752.27</x:v>
      </x:c>
      <x:c r="O156" s="30" t="n">
        <x:f>IFERROR(I156/H156,0)</x:f>
        <x:v>0.02000693882271308</x:v>
      </x:c>
      <x:c r="P156" s="30" t="n">
        <x:f>IFERROR(J156/I156,0)</x:f>
        <x:v>0.1676300578034682</x:v>
      </x:c>
      <x:c r="Q156" s="30" t="n">
        <x:f>IFERROR(K156/J156,0)</x:f>
        <x:v>0.43103448275862066</x:v>
      </x:c>
      <x:c r="R156" s="30" t="n">
        <x:f>IFERROR(L156/K156,0)</x:f>
        <x:v>0.64</x:v>
      </x:c>
      <x:c r="S156" s="28" t="n">
        <x:f>IFERROR(N156/J156,0)</x:f>
        <x:v>875.0391379310345</x:v>
      </x:c>
      <x:c r="T156" s="28" t="n">
        <x:f>IFERROR(N156/K156,0)</x:f>
        <x:v>2030.0908</x:v>
      </x:c>
      <x:c r="U156" s="28" t="n">
        <x:f>IFERROR(N156/L156,0)</x:f>
        <x:v>3172.016875</x:v>
      </x:c>
    </x:row>
    <x:row r="157">
      <x:c r="A157" t="n">
        <x:v>156</x:v>
      </x:c>
      <x:c r="B157" s="26" t="n">
        <x:v>46062</x:v>
      </x:c>
      <x:c r="C157" t="str">
        <x:v>CPO_Digital_360</x:v>
      </x:c>
      <x:c r="D157" t="str">
        <x:v>Google Ads</x:v>
      </x:c>
      <x:c r="E157" t="str">
        <x:v>Assalariado</x:v>
      </x:c>
      <x:c r="F157" t="str">
        <x:v>Luanda</x:v>
      </x:c>
      <x:c r="G157" t="str">
        <x:v>Android</x:v>
      </x:c>
      <x:c r="H157" t="n">
        <x:v>7390</x:v>
      </x:c>
      <x:c r="I157" t="n">
        <x:v>270</x:v>
      </x:c>
      <x:c r="J157" t="n">
        <x:v>47</x:v>
      </x:c>
      <x:c r="K157" t="n">
        <x:v>34</x:v>
      </x:c>
      <x:c r="L157" t="n">
        <x:v>22</x:v>
      </x:c>
      <x:c r="M157" s="28" t="n">
        <x:v>47362558.75</x:v>
      </x:c>
      <x:c r="N157" s="28" t="n">
        <x:v>22399.45</x:v>
      </x:c>
      <x:c r="O157" s="30" t="n">
        <x:f>IFERROR(I157/H157,0)</x:f>
        <x:v>0.036535859269282815</x:v>
      </x:c>
      <x:c r="P157" s="30" t="n">
        <x:f>IFERROR(J157/I157,0)</x:f>
        <x:v>0.17407407407407408</x:v>
      </x:c>
      <x:c r="Q157" s="30" t="n">
        <x:f>IFERROR(K157/J157,0)</x:f>
        <x:v>0.723404255319149</x:v>
      </x:c>
      <x:c r="R157" s="30" t="n">
        <x:f>IFERROR(L157/K157,0)</x:f>
        <x:v>0.6470588235294118</x:v>
      </x:c>
      <x:c r="S157" s="28" t="n">
        <x:f>IFERROR(N157/J157,0)</x:f>
        <x:v>476.5840425531915</x:v>
      </x:c>
      <x:c r="T157" s="28" t="n">
        <x:f>IFERROR(N157/K157,0)</x:f>
        <x:v>658.8073529411765</x:v>
      </x:c>
      <x:c r="U157" s="28" t="n">
        <x:f>IFERROR(N157/L157,0)</x:f>
        <x:v>1018.1568181818183</x:v>
      </x:c>
    </x:row>
    <x:row r="158">
      <x:c r="A158" t="n">
        <x:v>157</x:v>
      </x:c>
      <x:c r="B158" s="26" t="n">
        <x:v>46062</x:v>
      </x:c>
      <x:c r="C158" t="str">
        <x:v>CPO_Always_On</x:v>
      </x:c>
      <x:c r="D158" t="str">
        <x:v>E-mail</x:v>
      </x:c>
      <x:c r="E158" t="str">
        <x:v>Funcionário Público</x:v>
      </x:c>
      <x:c r="F158" t="str">
        <x:v>Uíge</x:v>
      </x:c>
      <x:c r="G158" t="str">
        <x:v>Android</x:v>
      </x:c>
      <x:c r="H158" t="n">
        <x:v>11504</x:v>
      </x:c>
      <x:c r="I158" t="n">
        <x:v>613</x:v>
      </x:c>
      <x:c r="J158" t="n">
        <x:v>62</x:v>
      </x:c>
      <x:c r="K158" t="n">
        <x:v>46</x:v>
      </x:c>
      <x:c r="L158" t="n">
        <x:v>35</x:v>
      </x:c>
      <x:c r="M158" s="28" t="n">
        <x:v>60235717.37</x:v>
      </x:c>
      <x:c r="N158" s="28" t="n">
        <x:v>184929.02</x:v>
      </x:c>
      <x:c r="O158" s="30" t="n">
        <x:f>IFERROR(I158/H158,0)</x:f>
        <x:v>0.05328581363004172</x:v>
      </x:c>
      <x:c r="P158" s="30" t="n">
        <x:f>IFERROR(J158/I158,0)</x:f>
        <x:v>0.10114192495921696</x:v>
      </x:c>
      <x:c r="Q158" s="30" t="n">
        <x:f>IFERROR(K158/J158,0)</x:f>
        <x:v>0.7419354838709677</x:v>
      </x:c>
      <x:c r="R158" s="30" t="n">
        <x:f>IFERROR(L158/K158,0)</x:f>
        <x:v>0.7608695652173914</x:v>
      </x:c>
      <x:c r="S158" s="28" t="n">
        <x:f>IFERROR(N158/J158,0)</x:f>
        <x:v>2982.726129032258</x:v>
      </x:c>
      <x:c r="T158" s="28" t="n">
        <x:f>IFERROR(N158/K158,0)</x:f>
        <x:v>4020.1960869565214</x:v>
      </x:c>
      <x:c r="U158" s="28" t="n">
        <x:f>IFERROR(N158/L158,0)</x:f>
        <x:v>5283.686285714285</x:v>
      </x:c>
    </x:row>
    <x:row r="159">
      <x:c r="A159" t="n">
        <x:v>158</x:v>
      </x:c>
      <x:c r="B159" s="26" t="n">
        <x:v>46062</x:v>
      </x:c>
      <x:c r="C159" t="str">
        <x:v>CPO_Digital_360</x:v>
      </x:c>
      <x:c r="D159" t="str">
        <x:v>TikTok Ads</x:v>
      </x:c>
      <x:c r="E159" t="str">
        <x:v>Premium</x:v>
      </x:c>
      <x:c r="F159" t="str">
        <x:v>Uíge</x:v>
      </x:c>
      <x:c r="G159" t="str">
        <x:v>Android</x:v>
      </x:c>
      <x:c r="H159" t="n">
        <x:v>22584</x:v>
      </x:c>
      <x:c r="I159" t="n">
        <x:v>349</x:v>
      </x:c>
      <x:c r="J159" t="n">
        <x:v>33</x:v>
      </x:c>
      <x:c r="K159" t="n">
        <x:v>19</x:v>
      </x:c>
      <x:c r="L159" t="n">
        <x:v>13</x:v>
      </x:c>
      <x:c r="M159" s="28" t="n">
        <x:v>63137236.34</x:v>
      </x:c>
      <x:c r="N159" s="28" t="n">
        <x:v>23981.7</x:v>
      </x:c>
      <x:c r="O159" s="30" t="n">
        <x:f>IFERROR(I159/H159,0)</x:f>
        <x:v>0.015453418349273822</x:v>
      </x:c>
      <x:c r="P159" s="30" t="n">
        <x:f>IFERROR(J159/I159,0)</x:f>
        <x:v>0.09455587392550144</x:v>
      </x:c>
      <x:c r="Q159" s="30" t="n">
        <x:f>IFERROR(K159/J159,0)</x:f>
        <x:v>0.5757575757575758</x:v>
      </x:c>
      <x:c r="R159" s="30" t="n">
        <x:f>IFERROR(L159/K159,0)</x:f>
        <x:v>0.6842105263157895</x:v>
      </x:c>
      <x:c r="S159" s="28" t="n">
        <x:f>IFERROR(N159/J159,0)</x:f>
        <x:v>726.7181818181818</x:v>
      </x:c>
      <x:c r="T159" s="28" t="n">
        <x:f>IFERROR(N159/K159,0)</x:f>
        <x:v>1262.1947368421054</x:v>
      </x:c>
      <x:c r="U159" s="28" t="n">
        <x:f>IFERROR(N159/L159,0)</x:f>
        <x:v>1844.746153846154</x:v>
      </x:c>
    </x:row>
    <x:row r="160">
      <x:c r="A160" t="n">
        <x:v>159</x:v>
      </x:c>
      <x:c r="B160" s="26" t="n">
        <x:v>46062</x:v>
      </x:c>
      <x:c r="C160" t="str">
        <x:v>CPO_Premium</x:v>
      </x:c>
      <x:c r="D160" t="str">
        <x:v>SMS</x:v>
      </x:c>
      <x:c r="E160" t="str">
        <x:v>Funcionário Público</x:v>
      </x:c>
      <x:c r="F160" t="str">
        <x:v>Luanda</x:v>
      </x:c>
      <x:c r="G160" t="str">
        <x:v>Desktop</x:v>
      </x:c>
      <x:c r="H160" t="n">
        <x:v>1568</x:v>
      </x:c>
      <x:c r="I160" t="n">
        <x:v>51</x:v>
      </x:c>
      <x:c r="J160" t="n">
        <x:v>8</x:v>
      </x:c>
      <x:c r="K160" t="n">
        <x:v>5</x:v>
      </x:c>
      <x:c r="L160" t="n">
        <x:v>3</x:v>
      </x:c>
      <x:c r="M160" s="28" t="n">
        <x:v>7014608.9</x:v>
      </x:c>
      <x:c r="N160" s="28" t="n">
        <x:v>9495.82</x:v>
      </x:c>
      <x:c r="O160" s="30" t="n">
        <x:f>IFERROR(I160/H160,0)</x:f>
        <x:v>0.032525510204081634</x:v>
      </x:c>
      <x:c r="P160" s="30" t="n">
        <x:f>IFERROR(J160/I160,0)</x:f>
        <x:v>0.1568627450980392</x:v>
      </x:c>
      <x:c r="Q160" s="30" t="n">
        <x:f>IFERROR(K160/J160,0)</x:f>
        <x:v>0.625</x:v>
      </x:c>
      <x:c r="R160" s="30" t="n">
        <x:f>IFERROR(L160/K160,0)</x:f>
        <x:v>0.6</x:v>
      </x:c>
      <x:c r="S160" s="28" t="n">
        <x:f>IFERROR(N160/J160,0)</x:f>
        <x:v>1186.9775</x:v>
      </x:c>
      <x:c r="T160" s="28" t="n">
        <x:f>IFERROR(N160/K160,0)</x:f>
        <x:v>1899.164</x:v>
      </x:c>
      <x:c r="U160" s="28" t="n">
        <x:f>IFERROR(N160/L160,0)</x:f>
        <x:v>3165.273333333333</x:v>
      </x:c>
    </x:row>
    <x:row r="161">
      <x:c r="A161" t="n">
        <x:v>160</x:v>
      </x:c>
      <x:c r="B161" s="26" t="n">
        <x:v>46063</x:v>
      </x:c>
      <x:c r="C161" t="str">
        <x:v>CPO_Fim_do_Mes</x:v>
      </x:c>
      <x:c r="D161" t="str">
        <x:v>Google Ads</x:v>
      </x:c>
      <x:c r="E161" t="str">
        <x:v>Jovem Profissional</x:v>
      </x:c>
      <x:c r="F161" t="str">
        <x:v>Huambo</x:v>
      </x:c>
      <x:c r="G161" t="str">
        <x:v>iOS</x:v>
      </x:c>
      <x:c r="H161" t="n">
        <x:v>24229</x:v>
      </x:c>
      <x:c r="I161" t="n">
        <x:v>874</x:v>
      </x:c>
      <x:c r="J161" t="n">
        <x:v>111</x:v>
      </x:c>
      <x:c r="K161" t="n">
        <x:v>55</x:v>
      </x:c>
      <x:c r="L161" t="n">
        <x:v>37</x:v>
      </x:c>
      <x:c r="M161" s="28" t="n">
        <x:v>47397728.99</x:v>
      </x:c>
      <x:c r="N161" s="28" t="n">
        <x:v>87663.67</x:v>
      </x:c>
      <x:c r="O161" s="30" t="n">
        <x:f>IFERROR(I161/H161,0)</x:f>
        <x:v>0.03607247513310496</x:v>
      </x:c>
      <x:c r="P161" s="30" t="n">
        <x:f>IFERROR(J161/I161,0)</x:f>
        <x:v>0.12700228832951946</x:v>
      </x:c>
      <x:c r="Q161" s="30" t="n">
        <x:f>IFERROR(K161/J161,0)</x:f>
        <x:v>0.4954954954954955</x:v>
      </x:c>
      <x:c r="R161" s="30" t="n">
        <x:f>IFERROR(L161/K161,0)</x:f>
        <x:v>0.6727272727272727</x:v>
      </x:c>
      <x:c r="S161" s="28" t="n">
        <x:f>IFERROR(N161/J161,0)</x:f>
        <x:v>789.7627927927928</x:v>
      </x:c>
      <x:c r="T161" s="28" t="n">
        <x:f>IFERROR(N161/K161,0)</x:f>
        <x:v>1593.884909090909</x:v>
      </x:c>
      <x:c r="U161" s="28" t="n">
        <x:f>IFERROR(N161/L161,0)</x:f>
        <x:v>2369.288378378378</x:v>
      </x:c>
    </x:row>
    <x:row r="162">
      <x:c r="A162" t="n">
        <x:v>161</x:v>
      </x:c>
      <x:c r="B162" s="26" t="n">
        <x:v>46063</x:v>
      </x:c>
      <x:c r="C162" t="str">
        <x:v>CPO_Premium</x:v>
      </x:c>
      <x:c r="D162" t="str">
        <x:v>SMS</x:v>
      </x:c>
      <x:c r="E162" t="str">
        <x:v>Premium</x:v>
      </x:c>
      <x:c r="F162" t="str">
        <x:v>Luanda</x:v>
      </x:c>
      <x:c r="G162" t="str">
        <x:v>Desktop</x:v>
      </x:c>
      <x:c r="H162" t="n">
        <x:v>2361</x:v>
      </x:c>
      <x:c r="I162" t="n">
        <x:v>231</x:v>
      </x:c>
      <x:c r="J162" t="n">
        <x:v>31</x:v>
      </x:c>
      <x:c r="K162" t="n">
        <x:v>21</x:v>
      </x:c>
      <x:c r="L162" t="n">
        <x:v>17</x:v>
      </x:c>
      <x:c r="M162" s="28" t="n">
        <x:v>85865914.27</x:v>
      </x:c>
      <x:c r="N162" s="28" t="n">
        <x:v>22047.12</x:v>
      </x:c>
      <x:c r="O162" s="30" t="n">
        <x:f>IFERROR(I162/H162,0)</x:f>
        <x:v>0.09783989834815757</x:v>
      </x:c>
      <x:c r="P162" s="30" t="n">
        <x:f>IFERROR(J162/I162,0)</x:f>
        <x:v>0.1341991341991342</x:v>
      </x:c>
      <x:c r="Q162" s="30" t="n">
        <x:f>IFERROR(K162/J162,0)</x:f>
        <x:v>0.6774193548387096</x:v>
      </x:c>
      <x:c r="R162" s="30" t="n">
        <x:f>IFERROR(L162/K162,0)</x:f>
        <x:v>0.8095238095238095</x:v>
      </x:c>
      <x:c r="S162" s="28" t="n">
        <x:f>IFERROR(N162/J162,0)</x:f>
        <x:v>711.1974193548386</x:v>
      </x:c>
      <x:c r="T162" s="28" t="n">
        <x:f>IFERROR(N162/K162,0)</x:f>
        <x:v>1049.8628571428571</x:v>
      </x:c>
      <x:c r="U162" s="28" t="n">
        <x:f>IFERROR(N162/L162,0)</x:f>
        <x:v>1296.8894117647058</x:v>
      </x:c>
    </x:row>
    <x:row r="163">
      <x:c r="A163" t="n">
        <x:v>162</x:v>
      </x:c>
      <x:c r="B163" s="26" t="n">
        <x:v>46063</x:v>
      </x:c>
      <x:c r="C163" t="str">
        <x:v>CPO_Acesso_Rapido</x:v>
      </x:c>
      <x:c r="D163" t="str">
        <x:v>TikTok Ads</x:v>
      </x:c>
      <x:c r="E163" t="str">
        <x:v>Pequeno Negócio</x:v>
      </x:c>
      <x:c r="F163" t="str">
        <x:v>Luanda</x:v>
      </x:c>
      <x:c r="G163" t="str">
        <x:v>iOS</x:v>
      </x:c>
      <x:c r="H163" t="n">
        <x:v>3825</x:v>
      </x:c>
      <x:c r="I163" t="n">
        <x:v>54</x:v>
      </x:c>
      <x:c r="J163" t="n">
        <x:v>2</x:v>
      </x:c>
      <x:c r="K163" t="n">
        <x:v>1</x:v>
      </x:c>
      <x:c r="L163" t="n">
        <x:v>0</x:v>
      </x:c>
      <x:c r="M163" s="28" t="n">
        <x:v>0</x:v>
      </x:c>
      <x:c r="N163" s="28" t="n">
        <x:v>8017.77</x:v>
      </x:c>
      <x:c r="O163" s="30" t="n">
        <x:f>IFERROR(I163/H163,0)</x:f>
        <x:v>0.01411764705882353</x:v>
      </x:c>
      <x:c r="P163" s="30" t="n">
        <x:f>IFERROR(J163/I163,0)</x:f>
        <x:v>0.037037037037037035</x:v>
      </x:c>
      <x:c r="Q163" s="30" t="n">
        <x:f>IFERROR(K163/J163,0)</x:f>
        <x:v>0.5</x:v>
      </x:c>
      <x:c r="R163" s="30" t="n">
        <x:f>IFERROR(L163/K163,0)</x:f>
        <x:v>0</x:v>
      </x:c>
      <x:c r="S163" s="28" t="n">
        <x:f>IFERROR(N163/J163,0)</x:f>
        <x:v>4008.885</x:v>
      </x:c>
      <x:c r="T163" s="28" t="n">
        <x:f>IFERROR(N163/K163,0)</x:f>
        <x:v>8017.77</x:v>
      </x:c>
      <x:c r="U163" s="28" t="n">
        <x:f>IFERROR(N163/L163,0)</x:f>
        <x:v>0</x:v>
      </x:c>
    </x:row>
    <x:row r="164">
      <x:c r="A164" t="n">
        <x:v>163</x:v>
      </x:c>
      <x:c r="B164" s="26" t="n">
        <x:v>46063</x:v>
      </x:c>
      <x:c r="C164" t="str">
        <x:v>CPO_Digital_360</x:v>
      </x:c>
      <x:c r="D164" t="str">
        <x:v>SMS</x:v>
      </x:c>
      <x:c r="E164" t="str">
        <x:v>Pequeno Negócio</x:v>
      </x:c>
      <x:c r="F164" t="str">
        <x:v>Huíla</x:v>
      </x:c>
      <x:c r="G164" t="str">
        <x:v>Android</x:v>
      </x:c>
      <x:c r="H164" t="n">
        <x:v>8571</x:v>
      </x:c>
      <x:c r="I164" t="n">
        <x:v>521</x:v>
      </x:c>
      <x:c r="J164" t="n">
        <x:v>43</x:v>
      </x:c>
      <x:c r="K164" t="n">
        <x:v>21</x:v>
      </x:c>
      <x:c r="L164" t="n">
        <x:v>9</x:v>
      </x:c>
      <x:c r="M164" s="28" t="n">
        <x:v>30260021.7</x:v>
      </x:c>
      <x:c r="N164" s="28" t="n">
        <x:v>39550.73</x:v>
      </x:c>
      <x:c r="O164" s="30" t="n">
        <x:f>IFERROR(I164/H164,0)</x:f>
        <x:v>0.06078637265196593</x:v>
      </x:c>
      <x:c r="P164" s="30" t="n">
        <x:f>IFERROR(J164/I164,0)</x:f>
        <x:v>0.08253358925143954</x:v>
      </x:c>
      <x:c r="Q164" s="30" t="n">
        <x:f>IFERROR(K164/J164,0)</x:f>
        <x:v>0.4883720930232558</x:v>
      </x:c>
      <x:c r="R164" s="30" t="n">
        <x:f>IFERROR(L164/K164,0)</x:f>
        <x:v>0.42857142857142855</x:v>
      </x:c>
      <x:c r="S164" s="28" t="n">
        <x:f>IFERROR(N164/J164,0)</x:f>
        <x:v>919.7844186046513</x:v>
      </x:c>
      <x:c r="T164" s="28" t="n">
        <x:f>IFERROR(N164/K164,0)</x:f>
        <x:v>1883.3680952380953</x:v>
      </x:c>
      <x:c r="U164" s="28" t="n">
        <x:f>IFERROR(N164/L164,0)</x:f>
        <x:v>4394.525555555556</x:v>
      </x:c>
    </x:row>
    <x:row r="165">
      <x:c r="A165" t="n">
        <x:v>164</x:v>
      </x:c>
      <x:c r="B165" s="26" t="n">
        <x:v>46064</x:v>
      </x:c>
      <x:c r="C165" t="str">
        <x:v>CPO_Digital_360</x:v>
      </x:c>
      <x:c r="D165" t="str">
        <x:v>SMS</x:v>
      </x:c>
      <x:c r="E165" t="str">
        <x:v>Assalariado</x:v>
      </x:c>
      <x:c r="F165" t="str">
        <x:v>Benguela</x:v>
      </x:c>
      <x:c r="G165" t="str">
        <x:v>iOS</x:v>
      </x:c>
      <x:c r="H165" t="n">
        <x:v>6723</x:v>
      </x:c>
      <x:c r="I165" t="n">
        <x:v>570</x:v>
      </x:c>
      <x:c r="J165" t="n">
        <x:v>80</x:v>
      </x:c>
      <x:c r="K165" t="n">
        <x:v>52</x:v>
      </x:c>
      <x:c r="L165" t="n">
        <x:v>35</x:v>
      </x:c>
      <x:c r="M165" s="28" t="n">
        <x:v>74668236.97</x:v>
      </x:c>
      <x:c r="N165" s="28" t="n">
        <x:v>50690.41</x:v>
      </x:c>
      <x:c r="O165" s="30" t="n">
        <x:f>IFERROR(I165/H165,0)</x:f>
        <x:v>0.08478357875948238</x:v>
      </x:c>
      <x:c r="P165" s="30" t="n">
        <x:f>IFERROR(J165/I165,0)</x:f>
        <x:v>0.14035087719298245</x:v>
      </x:c>
      <x:c r="Q165" s="30" t="n">
        <x:f>IFERROR(K165/J165,0)</x:f>
        <x:v>0.65</x:v>
      </x:c>
      <x:c r="R165" s="30" t="n">
        <x:f>IFERROR(L165/K165,0)</x:f>
        <x:v>0.6730769230769231</x:v>
      </x:c>
      <x:c r="S165" s="28" t="n">
        <x:f>IFERROR(N165/J165,0)</x:f>
        <x:v>633.630125</x:v>
      </x:c>
      <x:c r="T165" s="28" t="n">
        <x:f>IFERROR(N165/K165,0)</x:f>
        <x:v>974.815576923077</x:v>
      </x:c>
      <x:c r="U165" s="28" t="n">
        <x:f>IFERROR(N165/L165,0)</x:f>
        <x:v>1448.2974285714288</x:v>
      </x:c>
    </x:row>
    <x:row r="166">
      <x:c r="A166" t="n">
        <x:v>165</x:v>
      </x:c>
      <x:c r="B166" s="26" t="n">
        <x:v>46064</x:v>
      </x:c>
      <x:c r="C166" t="str">
        <x:v>CPO_Acesso_Rapido</x:v>
      </x:c>
      <x:c r="D166" t="str">
        <x:v>Google Ads</x:v>
      </x:c>
      <x:c r="E166" t="str">
        <x:v>Jovem Profissional</x:v>
      </x:c>
      <x:c r="F166" t="str">
        <x:v>Luanda</x:v>
      </x:c>
      <x:c r="G166" t="str">
        <x:v>Android</x:v>
      </x:c>
      <x:c r="H166" t="n">
        <x:v>25307</x:v>
      </x:c>
      <x:c r="I166" t="n">
        <x:v>624</x:v>
      </x:c>
      <x:c r="J166" t="n">
        <x:v>135</x:v>
      </x:c>
      <x:c r="K166" t="n">
        <x:v>69</x:v>
      </x:c>
      <x:c r="L166" t="n">
        <x:v>42</x:v>
      </x:c>
      <x:c r="M166" s="28" t="n">
        <x:v>52882117.68</x:v>
      </x:c>
      <x:c r="N166" s="28" t="n">
        <x:v>65822.6</x:v>
      </x:c>
      <x:c r="O166" s="30" t="n">
        <x:f>IFERROR(I166/H166,0)</x:f>
        <x:v>0.0246572094677362</x:v>
      </x:c>
      <x:c r="P166" s="30" t="n">
        <x:f>IFERROR(J166/I166,0)</x:f>
        <x:v>0.21634615384615385</x:v>
      </x:c>
      <x:c r="Q166" s="30" t="n">
        <x:f>IFERROR(K166/J166,0)</x:f>
        <x:v>0.5111111111111111</x:v>
      </x:c>
      <x:c r="R166" s="30" t="n">
        <x:f>IFERROR(L166/K166,0)</x:f>
        <x:v>0.6086956521739131</x:v>
      </x:c>
      <x:c r="S166" s="28" t="n">
        <x:f>IFERROR(N166/J166,0)</x:f>
        <x:v>487.5748148148149</x:v>
      </x:c>
      <x:c r="T166" s="28" t="n">
        <x:f>IFERROR(N166/K166,0)</x:f>
        <x:v>953.9507246376812</x:v>
      </x:c>
      <x:c r="U166" s="28" t="n">
        <x:f>IFERROR(N166/L166,0)</x:f>
        <x:v>1567.204761904762</x:v>
      </x:c>
    </x:row>
    <x:row r="167">
      <x:c r="A167" t="n">
        <x:v>166</x:v>
      </x:c>
      <x:c r="B167" s="26" t="n">
        <x:v>46064</x:v>
      </x:c>
      <x:c r="C167" t="str">
        <x:v>CPO_Digital_360</x:v>
      </x:c>
      <x:c r="D167" t="str">
        <x:v>SMS</x:v>
      </x:c>
      <x:c r="E167" t="str">
        <x:v>Assalariado</x:v>
      </x:c>
      <x:c r="F167" t="str">
        <x:v>Benguela</x:v>
      </x:c>
      <x:c r="G167" t="str">
        <x:v>Desktop</x:v>
      </x:c>
      <x:c r="H167" t="n">
        <x:v>8245</x:v>
      </x:c>
      <x:c r="I167" t="n">
        <x:v>827</x:v>
      </x:c>
      <x:c r="J167" t="n">
        <x:v>106</x:v>
      </x:c>
      <x:c r="K167" t="n">
        <x:v>71</x:v>
      </x:c>
      <x:c r="L167" t="n">
        <x:v>47</x:v>
      </x:c>
      <x:c r="M167" s="28" t="n">
        <x:v>103030992.66</x:v>
      </x:c>
      <x:c r="N167" s="28" t="n">
        <x:v>30507.7</x:v>
      </x:c>
      <x:c r="O167" s="30" t="n">
        <x:f>IFERROR(I167/H167,0)</x:f>
        <x:v>0.10030321406913281</x:v>
      </x:c>
      <x:c r="P167" s="30" t="n">
        <x:f>IFERROR(J167/I167,0)</x:f>
        <x:v>0.12817412333736397</x:v>
      </x:c>
      <x:c r="Q167" s="30" t="n">
        <x:f>IFERROR(K167/J167,0)</x:f>
        <x:v>0.6698113207547169</x:v>
      </x:c>
      <x:c r="R167" s="30" t="n">
        <x:f>IFERROR(L167/K167,0)</x:f>
        <x:v>0.6619718309859155</x:v>
      </x:c>
      <x:c r="S167" s="28" t="n">
        <x:f>IFERROR(N167/J167,0)</x:f>
        <x:v>287.80849056603773</x:v>
      </x:c>
      <x:c r="T167" s="28" t="n">
        <x:f>IFERROR(N167/K167,0)</x:f>
        <x:v>429.68591549295775</x:v>
      </x:c>
      <x:c r="U167" s="28" t="n">
        <x:f>IFERROR(N167/L167,0)</x:f>
        <x:v>649.1</x:v>
      </x:c>
    </x:row>
    <x:row r="168">
      <x:c r="A168" t="n">
        <x:v>167</x:v>
      </x:c>
      <x:c r="B168" s="26" t="n">
        <x:v>46064</x:v>
      </x:c>
      <x:c r="C168" t="str">
        <x:v>CPO_Fim_do_Mes</x:v>
      </x:c>
      <x:c r="D168" t="str">
        <x:v>E-mail</x:v>
      </x:c>
      <x:c r="E168" t="str">
        <x:v>Premium</x:v>
      </x:c>
      <x:c r="F168" t="str">
        <x:v>Uíge</x:v>
      </x:c>
      <x:c r="G168" t="str">
        <x:v>Desktop</x:v>
      </x:c>
      <x:c r="H168" t="n">
        <x:v>10800</x:v>
      </x:c>
      <x:c r="I168" t="n">
        <x:v>495</x:v>
      </x:c>
      <x:c r="J168" t="n">
        <x:v>37</x:v>
      </x:c>
      <x:c r="K168" t="n">
        <x:v>29</x:v>
      </x:c>
      <x:c r="L168" t="n">
        <x:v>21</x:v>
      </x:c>
      <x:c r="M168" s="28" t="n">
        <x:v>103782101.04</x:v>
      </x:c>
      <x:c r="N168" s="28" t="n">
        <x:v>169872.4</x:v>
      </x:c>
      <x:c r="O168" s="30" t="n">
        <x:f>IFERROR(I168/H168,0)</x:f>
        <x:v>0.04583333333333333</x:v>
      </x:c>
      <x:c r="P168" s="30" t="n">
        <x:f>IFERROR(J168/I168,0)</x:f>
        <x:v>0.07474747474747474</x:v>
      </x:c>
      <x:c r="Q168" s="30" t="n">
        <x:f>IFERROR(K168/J168,0)</x:f>
        <x:v>0.7837837837837838</x:v>
      </x:c>
      <x:c r="R168" s="30" t="n">
        <x:f>IFERROR(L168/K168,0)</x:f>
        <x:v>0.7241379310344828</x:v>
      </x:c>
      <x:c r="S168" s="28" t="n">
        <x:f>IFERROR(N168/J168,0)</x:f>
        <x:v>4591.145945945946</x:v>
      </x:c>
      <x:c r="T168" s="28" t="n">
        <x:f>IFERROR(N168/K168,0)</x:f>
        <x:v>5857.668965517241</x:v>
      </x:c>
      <x:c r="U168" s="28" t="n">
        <x:f>IFERROR(N168/L168,0)</x:f>
        <x:v>8089.161904761904</x:v>
      </x:c>
    </x:row>
    <x:row r="169">
      <x:c r="A169" t="n">
        <x:v>168</x:v>
      </x:c>
      <x:c r="B169" s="26" t="n">
        <x:v>46065</x:v>
      </x:c>
      <x:c r="C169" t="str">
        <x:v>CPO_Digital_360</x:v>
      </x:c>
      <x:c r="D169" t="str">
        <x:v>SMS</x:v>
      </x:c>
      <x:c r="E169" t="str">
        <x:v>Assalariado</x:v>
      </x:c>
      <x:c r="F169" t="str">
        <x:v>Luanda</x:v>
      </x:c>
      <x:c r="G169" t="str">
        <x:v>iOS</x:v>
      </x:c>
      <x:c r="H169" t="n">
        <x:v>5598</x:v>
      </x:c>
      <x:c r="I169" t="n">
        <x:v>525</x:v>
      </x:c>
      <x:c r="J169" t="n">
        <x:v>63</x:v>
      </x:c>
      <x:c r="K169" t="n">
        <x:v>43</x:v>
      </x:c>
      <x:c r="L169" t="n">
        <x:v>24</x:v>
      </x:c>
      <x:c r="M169" s="28" t="n">
        <x:v>55743168.71</x:v>
      </x:c>
      <x:c r="N169" s="28" t="n">
        <x:v>72228.99</x:v>
      </x:c>
      <x:c r="O169" s="30" t="n">
        <x:f>IFERROR(I169/H169,0)</x:f>
        <x:v>0.09378349410503752</x:v>
      </x:c>
      <x:c r="P169" s="30" t="n">
        <x:f>IFERROR(J169/I169,0)</x:f>
        <x:v>0.12</x:v>
      </x:c>
      <x:c r="Q169" s="30" t="n">
        <x:f>IFERROR(K169/J169,0)</x:f>
        <x:v>0.6825396825396826</x:v>
      </x:c>
      <x:c r="R169" s="30" t="n">
        <x:f>IFERROR(L169/K169,0)</x:f>
        <x:v>0.5581395348837209</x:v>
      </x:c>
      <x:c r="S169" s="28" t="n">
        <x:f>IFERROR(N169/J169,0)</x:f>
        <x:v>1146.4919047619048</x:v>
      </x:c>
      <x:c r="T169" s="28" t="n">
        <x:f>IFERROR(N169/K169,0)</x:f>
        <x:v>1679.7439534883722</x:v>
      </x:c>
      <x:c r="U169" s="28" t="n">
        <x:f>IFERROR(N169/L169,0)</x:f>
        <x:v>3009.54125</x:v>
      </x:c>
    </x:row>
    <x:row r="170">
      <x:c r="A170" t="n">
        <x:v>169</x:v>
      </x:c>
      <x:c r="B170" s="26" t="n">
        <x:v>46065</x:v>
      </x:c>
      <x:c r="C170" t="str">
        <x:v>CPO_Always_On</x:v>
      </x:c>
      <x:c r="D170" t="str">
        <x:v>BAI Directo/App</x:v>
      </x:c>
      <x:c r="E170" t="str">
        <x:v>Jovem Profissional</x:v>
      </x:c>
      <x:c r="F170" t="str">
        <x:v>Uíge</x:v>
      </x:c>
      <x:c r="G170" t="str">
        <x:v>Android</x:v>
      </x:c>
      <x:c r="H170" t="n">
        <x:v>11719</x:v>
      </x:c>
      <x:c r="I170" t="n">
        <x:v>1469</x:v>
      </x:c>
      <x:c r="J170" t="n">
        <x:v>414</x:v>
      </x:c>
      <x:c r="K170" t="n">
        <x:v>169</x:v>
      </x:c>
      <x:c r="L170" t="n">
        <x:v>69</x:v>
      </x:c>
      <x:c r="M170" s="28" t="n">
        <x:v>84373532.66</x:v>
      </x:c>
      <x:c r="N170" s="28" t="n">
        <x:v>69005.33</x:v>
      </x:c>
      <x:c r="O170" s="30" t="n">
        <x:f>IFERROR(I170/H170,0)</x:f>
        <x:v>0.12535199249082687</x:v>
      </x:c>
      <x:c r="P170" s="30" t="n">
        <x:f>IFERROR(J170/I170,0)</x:f>
        <x:v>0.28182437031994556</x:v>
      </x:c>
      <x:c r="Q170" s="30" t="n">
        <x:f>IFERROR(K170/J170,0)</x:f>
        <x:v>0.4082125603864734</x:v>
      </x:c>
      <x:c r="R170" s="30" t="n">
        <x:f>IFERROR(L170/K170,0)</x:f>
        <x:v>0.40828402366863903</x:v>
      </x:c>
      <x:c r="S170" s="28" t="n">
        <x:f>IFERROR(N170/J170,0)</x:f>
        <x:v>166.67954106280195</x:v>
      </x:c>
      <x:c r="T170" s="28" t="n">
        <x:f>IFERROR(N170/K170,0)</x:f>
        <x:v>408.3155621301775</x:v>
      </x:c>
      <x:c r="U170" s="28" t="n">
        <x:f>IFERROR(N170/L170,0)</x:f>
        <x:v>1000.0772463768117</x:v>
      </x:c>
    </x:row>
    <x:row r="171">
      <x:c r="A171" t="n">
        <x:v>170</x:v>
      </x:c>
      <x:c r="B171" s="26" t="n">
        <x:v>46065</x:v>
      </x:c>
      <x:c r="C171" t="str">
        <x:v>CPO_Premium</x:v>
      </x:c>
      <x:c r="D171" t="str">
        <x:v>TikTok Ads</x:v>
      </x:c>
      <x:c r="E171" t="str">
        <x:v>Funcionário Público</x:v>
      </x:c>
      <x:c r="F171" t="str">
        <x:v>Luanda</x:v>
      </x:c>
      <x:c r="G171" t="str">
        <x:v>iOS</x:v>
      </x:c>
      <x:c r="H171" t="n">
        <x:v>5185</x:v>
      </x:c>
      <x:c r="I171" t="n">
        <x:v>93</x:v>
      </x:c>
      <x:c r="J171" t="n">
        <x:v>8</x:v>
      </x:c>
      <x:c r="K171" t="n">
        <x:v>6</x:v>
      </x:c>
      <x:c r="L171" t="n">
        <x:v>4</x:v>
      </x:c>
      <x:c r="M171" s="28" t="n">
        <x:v>8190673.05</x:v>
      </x:c>
      <x:c r="N171" s="28" t="n">
        <x:v>14687.45</x:v>
      </x:c>
      <x:c r="O171" s="30" t="n">
        <x:f>IFERROR(I171/H171,0)</x:f>
        <x:v>0.01793635486981678</x:v>
      </x:c>
      <x:c r="P171" s="30" t="n">
        <x:f>IFERROR(J171/I171,0)</x:f>
        <x:v>0.08602150537634409</x:v>
      </x:c>
      <x:c r="Q171" s="30" t="n">
        <x:f>IFERROR(K171/J171,0)</x:f>
        <x:v>0.75</x:v>
      </x:c>
      <x:c r="R171" s="30" t="n">
        <x:f>IFERROR(L171/K171,0)</x:f>
        <x:v>0.6666666666666666</x:v>
      </x:c>
      <x:c r="S171" s="28" t="n">
        <x:f>IFERROR(N171/J171,0)</x:f>
        <x:v>1835.93125</x:v>
      </x:c>
      <x:c r="T171" s="28" t="n">
        <x:f>IFERROR(N171/K171,0)</x:f>
        <x:v>2447.9083333333333</x:v>
      </x:c>
      <x:c r="U171" s="28" t="n">
        <x:f>IFERROR(N171/L171,0)</x:f>
        <x:v>3671.8625</x:v>
      </x:c>
    </x:row>
    <x:row r="172">
      <x:c r="A172" t="n">
        <x:v>171</x:v>
      </x:c>
      <x:c r="B172" s="26" t="n">
        <x:v>46065</x:v>
      </x:c>
      <x:c r="C172" t="str">
        <x:v>CPO_Premium</x:v>
      </x:c>
      <x:c r="D172" t="str">
        <x:v>TikTok Ads</x:v>
      </x:c>
      <x:c r="E172" t="str">
        <x:v>Pequeno Negócio</x:v>
      </x:c>
      <x:c r="F172" t="str">
        <x:v>Benguela</x:v>
      </x:c>
      <x:c r="G172" t="str">
        <x:v>Android</x:v>
      </x:c>
      <x:c r="H172" t="n">
        <x:v>25077</x:v>
      </x:c>
      <x:c r="I172" t="n">
        <x:v>463</x:v>
      </x:c>
      <x:c r="J172" t="n">
        <x:v>34</x:v>
      </x:c>
      <x:c r="K172" t="n">
        <x:v>19</x:v>
      </x:c>
      <x:c r="L172" t="n">
        <x:v>9</x:v>
      </x:c>
      <x:c r="M172" s="28" t="n">
        <x:v>24082680.7</x:v>
      </x:c>
      <x:c r="N172" s="28" t="n">
        <x:v>84215.11</x:v>
      </x:c>
      <x:c r="O172" s="30" t="n">
        <x:f>IFERROR(I172/H172,0)</x:f>
        <x:v>0.018463133548670095</x:v>
      </x:c>
      <x:c r="P172" s="30" t="n">
        <x:f>IFERROR(J172/I172,0)</x:f>
        <x:v>0.0734341252699784</x:v>
      </x:c>
      <x:c r="Q172" s="30" t="n">
        <x:f>IFERROR(K172/J172,0)</x:f>
        <x:v>0.5588235294117647</x:v>
      </x:c>
      <x:c r="R172" s="30" t="n">
        <x:f>IFERROR(L172/K172,0)</x:f>
        <x:v>0.47368421052631576</x:v>
      </x:c>
      <x:c r="S172" s="28" t="n">
        <x:f>IFERROR(N172/J172,0)</x:f>
        <x:v>2476.915</x:v>
      </x:c>
      <x:c r="T172" s="28" t="n">
        <x:f>IFERROR(N172/K172,0)</x:f>
        <x:v>4432.374210526315</x:v>
      </x:c>
      <x:c r="U172" s="28" t="n">
        <x:f>IFERROR(N172/L172,0)</x:f>
        <x:v>9357.234444444444</x:v>
      </x:c>
    </x:row>
    <x:row r="173">
      <x:c r="A173" t="n">
        <x:v>172</x:v>
      </x:c>
      <x:c r="B173" s="26" t="n">
        <x:v>46066</x:v>
      </x:c>
      <x:c r="C173" t="str">
        <x:v>CPO_Digital_360</x:v>
      </x:c>
      <x:c r="D173" t="str">
        <x:v>Meta Ads</x:v>
      </x:c>
      <x:c r="E173" t="str">
        <x:v>Pequeno Negócio</x:v>
      </x:c>
      <x:c r="F173" t="str">
        <x:v>Cuanza Sul</x:v>
      </x:c>
      <x:c r="G173" t="str">
        <x:v>Android</x:v>
      </x:c>
      <x:c r="H173" t="n">
        <x:v>21235</x:v>
      </x:c>
      <x:c r="I173" t="n">
        <x:v>428</x:v>
      </x:c>
      <x:c r="J173" t="n">
        <x:v>45</x:v>
      </x:c>
      <x:c r="K173" t="n">
        <x:v>24</x:v>
      </x:c>
      <x:c r="L173" t="n">
        <x:v>13</x:v>
      </x:c>
      <x:c r="M173" s="28" t="n">
        <x:v>40245798.92</x:v>
      </x:c>
      <x:c r="N173" s="28" t="n">
        <x:v>53240.16</x:v>
      </x:c>
      <x:c r="O173" s="30" t="n">
        <x:f>IFERROR(I173/H173,0)</x:f>
        <x:v>0.020155403814457264</x:v>
      </x:c>
      <x:c r="P173" s="30" t="n">
        <x:f>IFERROR(J173/I173,0)</x:f>
        <x:v>0.10514018691588785</x:v>
      </x:c>
      <x:c r="Q173" s="30" t="n">
        <x:f>IFERROR(K173/J173,0)</x:f>
        <x:v>0.5333333333333333</x:v>
      </x:c>
      <x:c r="R173" s="30" t="n">
        <x:f>IFERROR(L173/K173,0)</x:f>
        <x:v>0.5416666666666666</x:v>
      </x:c>
      <x:c r="S173" s="28" t="n">
        <x:f>IFERROR(N173/J173,0)</x:f>
        <x:v>1183.1146666666668</x:v>
      </x:c>
      <x:c r="T173" s="28" t="n">
        <x:f>IFERROR(N173/K173,0)</x:f>
        <x:v>2218.34</x:v>
      </x:c>
      <x:c r="U173" s="28" t="n">
        <x:f>IFERROR(N173/L173,0)</x:f>
        <x:v>4095.3969230769235</x:v>
      </x:c>
    </x:row>
    <x:row r="174">
      <x:c r="A174" t="n">
        <x:v>173</x:v>
      </x:c>
      <x:c r="B174" s="26" t="n">
        <x:v>46066</x:v>
      </x:c>
      <x:c r="C174" t="str">
        <x:v>CPO_Fim_do_Mes</x:v>
      </x:c>
      <x:c r="D174" t="str">
        <x:v>Meta Ads</x:v>
      </x:c>
      <x:c r="E174" t="str">
        <x:v>Assalariado</x:v>
      </x:c>
      <x:c r="F174" t="str">
        <x:v>Luanda</x:v>
      </x:c>
      <x:c r="G174" t="str">
        <x:v>Android</x:v>
      </x:c>
      <x:c r="H174" t="n">
        <x:v>17323</x:v>
      </x:c>
      <x:c r="I174" t="n">
        <x:v>431</x:v>
      </x:c>
      <x:c r="J174" t="n">
        <x:v>39</x:v>
      </x:c>
      <x:c r="K174" t="n">
        <x:v>22</x:v>
      </x:c>
      <x:c r="L174" t="n">
        <x:v>15</x:v>
      </x:c>
      <x:c r="M174" s="28" t="n">
        <x:v>30422170.94</x:v>
      </x:c>
      <x:c r="N174" s="28" t="n">
        <x:v>65385.87</x:v>
      </x:c>
      <x:c r="O174" s="30" t="n">
        <x:f>IFERROR(I174/H174,0)</x:f>
        <x:v>0.02488021705247359</x:v>
      </x:c>
      <x:c r="P174" s="30" t="n">
        <x:f>IFERROR(J174/I174,0)</x:f>
        <x:v>0.09048723897911833</x:v>
      </x:c>
      <x:c r="Q174" s="30" t="n">
        <x:f>IFERROR(K174/J174,0)</x:f>
        <x:v>0.5641025641025641</x:v>
      </x:c>
      <x:c r="R174" s="30" t="n">
        <x:f>IFERROR(L174/K174,0)</x:f>
        <x:v>0.6818181818181818</x:v>
      </x:c>
      <x:c r="S174" s="28" t="n">
        <x:f>IFERROR(N174/J174,0)</x:f>
        <x:v>1676.5607692307692</x:v>
      </x:c>
      <x:c r="T174" s="28" t="n">
        <x:f>IFERROR(N174/K174,0)</x:f>
        <x:v>2972.085</x:v>
      </x:c>
      <x:c r="U174" s="28" t="n">
        <x:f>IFERROR(N174/L174,0)</x:f>
        <x:v>4359.058</x:v>
      </x:c>
    </x:row>
    <x:row r="175">
      <x:c r="A175" t="n">
        <x:v>174</x:v>
      </x:c>
      <x:c r="B175" s="26" t="n">
        <x:v>46066</x:v>
      </x:c>
      <x:c r="C175" t="str">
        <x:v>CPO_Fim_do_Mes</x:v>
      </x:c>
      <x:c r="D175" t="str">
        <x:v>BAI Directo/App</x:v>
      </x:c>
      <x:c r="E175" t="str">
        <x:v>Assalariado</x:v>
      </x:c>
      <x:c r="F175" t="str">
        <x:v>Cuanza Sul</x:v>
      </x:c>
      <x:c r="G175" t="str">
        <x:v>iOS</x:v>
      </x:c>
      <x:c r="H175" t="n">
        <x:v>11223</x:v>
      </x:c>
      <x:c r="I175" t="n">
        <x:v>1086</x:v>
      </x:c>
      <x:c r="J175" t="n">
        <x:v>246</x:v>
      </x:c>
      <x:c r="K175" t="n">
        <x:v>141</x:v>
      </x:c>
      <x:c r="L175" t="n">
        <x:v>88</x:v>
      </x:c>
      <x:c r="M175" s="28" t="n">
        <x:v>198432122.54</x:v>
      </x:c>
      <x:c r="N175" s="28" t="n">
        <x:v>190820.2</x:v>
      </x:c>
      <x:c r="O175" s="30" t="n">
        <x:f>IFERROR(I175/H175,0)</x:f>
        <x:v>0.09676557070302058</x:v>
      </x:c>
      <x:c r="P175" s="30" t="n">
        <x:f>IFERROR(J175/I175,0)</x:f>
        <x:v>0.2265193370165746</x:v>
      </x:c>
      <x:c r="Q175" s="30" t="n">
        <x:f>IFERROR(K175/J175,0)</x:f>
        <x:v>0.573170731707317</x:v>
      </x:c>
      <x:c r="R175" s="30" t="n">
        <x:f>IFERROR(L175/K175,0)</x:f>
        <x:v>0.624113475177305</x:v>
      </x:c>
      <x:c r="S175" s="28" t="n">
        <x:f>IFERROR(N175/J175,0)</x:f>
        <x:v>775.6918699186992</x:v>
      </x:c>
      <x:c r="T175" s="28" t="n">
        <x:f>IFERROR(N175/K175,0)</x:f>
        <x:v>1353.3347517730497</x:v>
      </x:c>
      <x:c r="U175" s="28" t="n">
        <x:f>IFERROR(N175/L175,0)</x:f>
        <x:v>2168.4113636363636</x:v>
      </x:c>
    </x:row>
    <x:row r="176">
      <x:c r="A176" t="n">
        <x:v>175</x:v>
      </x:c>
      <x:c r="B176" s="26" t="n">
        <x:v>46066</x:v>
      </x:c>
      <x:c r="C176" t="str">
        <x:v>CPO_Premium</x:v>
      </x:c>
      <x:c r="D176" t="str">
        <x:v>SMS</x:v>
      </x:c>
      <x:c r="E176" t="str">
        <x:v>Premium</x:v>
      </x:c>
      <x:c r="F176" t="str">
        <x:v>Huíla</x:v>
      </x:c>
      <x:c r="G176" t="str">
        <x:v>iOS</x:v>
      </x:c>
      <x:c r="H176" t="n">
        <x:v>6657</x:v>
      </x:c>
      <x:c r="I176" t="n">
        <x:v>565</x:v>
      </x:c>
      <x:c r="J176" t="n">
        <x:v>78</x:v>
      </x:c>
      <x:c r="K176" t="n">
        <x:v>54</x:v>
      </x:c>
      <x:c r="L176" t="n">
        <x:v>43</x:v>
      </x:c>
      <x:c r="M176" s="28" t="n">
        <x:v>213106966.47</x:v>
      </x:c>
      <x:c r="N176" s="28" t="n">
        <x:v>117033.96</x:v>
      </x:c>
      <x:c r="O176" s="30" t="n">
        <x:f>IFERROR(I176/H176,0)</x:f>
        <x:v>0.08487306594562115</x:v>
      </x:c>
      <x:c r="P176" s="30" t="n">
        <x:f>IFERROR(J176/I176,0)</x:f>
        <x:v>0.13805309734513274</x:v>
      </x:c>
      <x:c r="Q176" s="30" t="n">
        <x:f>IFERROR(K176/J176,0)</x:f>
        <x:v>0.6923076923076923</x:v>
      </x:c>
      <x:c r="R176" s="30" t="n">
        <x:f>IFERROR(L176/K176,0)</x:f>
        <x:v>0.7962962962962963</x:v>
      </x:c>
      <x:c r="S176" s="28" t="n">
        <x:f>IFERROR(N176/J176,0)</x:f>
        <x:v>1500.4353846153847</x:v>
      </x:c>
      <x:c r="T176" s="28" t="n">
        <x:f>IFERROR(N176/K176,0)</x:f>
        <x:v>2167.295555555556</x:v>
      </x:c>
      <x:c r="U176" s="28" t="n">
        <x:f>IFERROR(N176/L176,0)</x:f>
        <x:v>2721.7200000000003</x:v>
      </x:c>
    </x:row>
    <x:row r="177">
      <x:c r="A177" t="n">
        <x:v>176</x:v>
      </x:c>
      <x:c r="B177" s="26" t="n">
        <x:v>46067</x:v>
      </x:c>
      <x:c r="C177" t="str">
        <x:v>CPO_Always_On</x:v>
      </x:c>
      <x:c r="D177" t="str">
        <x:v>E-mail</x:v>
      </x:c>
      <x:c r="E177" t="str">
        <x:v>Premium</x:v>
      </x:c>
      <x:c r="F177" t="str">
        <x:v>Luanda</x:v>
      </x:c>
      <x:c r="G177" t="str">
        <x:v>iOS</x:v>
      </x:c>
      <x:c r="H177" t="n">
        <x:v>1038</x:v>
      </x:c>
      <x:c r="I177" t="n">
        <x:v>66</x:v>
      </x:c>
      <x:c r="J177" t="n">
        <x:v>7</x:v>
      </x:c>
      <x:c r="K177" t="n">
        <x:v>5</x:v>
      </x:c>
      <x:c r="L177" t="n">
        <x:v>4</x:v>
      </x:c>
      <x:c r="M177" s="28" t="n">
        <x:v>14401500.32</x:v>
      </x:c>
      <x:c r="N177" s="28" t="n">
        <x:v>6095.84</x:v>
      </x:c>
      <x:c r="O177" s="30" t="n">
        <x:f>IFERROR(I177/H177,0)</x:f>
        <x:v>0.06358381502890173</x:v>
      </x:c>
      <x:c r="P177" s="30" t="n">
        <x:f>IFERROR(J177/I177,0)</x:f>
        <x:v>0.10606060606060606</x:v>
      </x:c>
      <x:c r="Q177" s="30" t="n">
        <x:f>IFERROR(K177/J177,0)</x:f>
        <x:v>0.7142857142857143</x:v>
      </x:c>
      <x:c r="R177" s="30" t="n">
        <x:f>IFERROR(L177/K177,0)</x:f>
        <x:v>0.8</x:v>
      </x:c>
      <x:c r="S177" s="28" t="n">
        <x:f>IFERROR(N177/J177,0)</x:f>
        <x:v>870.8342857142858</x:v>
      </x:c>
      <x:c r="T177" s="28" t="n">
        <x:f>IFERROR(N177/K177,0)</x:f>
        <x:v>1219.1680000000001</x:v>
      </x:c>
      <x:c r="U177" s="28" t="n">
        <x:f>IFERROR(N177/L177,0)</x:f>
        <x:v>1523.96</x:v>
      </x:c>
    </x:row>
    <x:row r="178">
      <x:c r="A178" t="n">
        <x:v>177</x:v>
      </x:c>
      <x:c r="B178" s="26" t="n">
        <x:v>46067</x:v>
      </x:c>
      <x:c r="C178" t="str">
        <x:v>CPO_Premium</x:v>
      </x:c>
      <x:c r="D178" t="str">
        <x:v>E-mail</x:v>
      </x:c>
      <x:c r="E178" t="str">
        <x:v>Premium</x:v>
      </x:c>
      <x:c r="F178" t="str">
        <x:v>Cabinda</x:v>
      </x:c>
      <x:c r="G178" t="str">
        <x:v>Android</x:v>
      </x:c>
      <x:c r="H178" t="n">
        <x:v>6847</x:v>
      </x:c>
      <x:c r="I178" t="n">
        <x:v>471</x:v>
      </x:c>
      <x:c r="J178" t="n">
        <x:v>49</x:v>
      </x:c>
      <x:c r="K178" t="n">
        <x:v>34</x:v>
      </x:c>
      <x:c r="L178" t="n">
        <x:v>22</x:v>
      </x:c>
      <x:c r="M178" s="28" t="n">
        <x:v>116753668.96</x:v>
      </x:c>
      <x:c r="N178" s="28" t="n">
        <x:v>120145.41</x:v>
      </x:c>
      <x:c r="O178" s="30" t="n">
        <x:f>IFERROR(I178/H178,0)</x:f>
        <x:v>0.06878925076675917</x:v>
      </x:c>
      <x:c r="P178" s="30" t="n">
        <x:f>IFERROR(J178/I178,0)</x:f>
        <x:v>0.1040339702760085</x:v>
      </x:c>
      <x:c r="Q178" s="30" t="n">
        <x:f>IFERROR(K178/J178,0)</x:f>
        <x:v>0.6938775510204082</x:v>
      </x:c>
      <x:c r="R178" s="30" t="n">
        <x:f>IFERROR(L178/K178,0)</x:f>
        <x:v>0.6470588235294118</x:v>
      </x:c>
      <x:c r="S178" s="28" t="n">
        <x:f>IFERROR(N178/J178,0)</x:f>
        <x:v>2451.947142857143</x:v>
      </x:c>
      <x:c r="T178" s="28" t="n">
        <x:f>IFERROR(N178/K178,0)</x:f>
        <x:v>3533.6885294117646</x:v>
      </x:c>
      <x:c r="U178" s="28" t="n">
        <x:f>IFERROR(N178/L178,0)</x:f>
        <x:v>5461.155</x:v>
      </x:c>
    </x:row>
    <x:row r="179">
      <x:c r="A179" t="n">
        <x:v>178</x:v>
      </x:c>
      <x:c r="B179" s="26" t="n">
        <x:v>46067</x:v>
      </x:c>
      <x:c r="C179" t="str">
        <x:v>CPO_Premium</x:v>
      </x:c>
      <x:c r="D179" t="str">
        <x:v>BAI Directo/App</x:v>
      </x:c>
      <x:c r="E179" t="str">
        <x:v>Pequeno Negócio</x:v>
      </x:c>
      <x:c r="F179" t="str">
        <x:v>Huíla</x:v>
      </x:c>
      <x:c r="G179" t="str">
        <x:v>iOS</x:v>
      </x:c>
      <x:c r="H179" t="n">
        <x:v>932</x:v>
      </x:c>
      <x:c r="I179" t="n">
        <x:v>132</x:v>
      </x:c>
      <x:c r="J179" t="n">
        <x:v>25</x:v>
      </x:c>
      <x:c r="K179" t="n">
        <x:v>12</x:v>
      </x:c>
      <x:c r="L179" t="n">
        <x:v>6</x:v>
      </x:c>
      <x:c r="M179" s="28" t="n">
        <x:v>17876398.82</x:v>
      </x:c>
      <x:c r="N179" s="28" t="n">
        <x:v>7849.38</x:v>
      </x:c>
      <x:c r="O179" s="30" t="n">
        <x:f>IFERROR(I179/H179,0)</x:f>
        <x:v>0.14163090128755365</x:v>
      </x:c>
      <x:c r="P179" s="30" t="n">
        <x:f>IFERROR(J179/I179,0)</x:f>
        <x:v>0.1893939393939394</x:v>
      </x:c>
      <x:c r="Q179" s="30" t="n">
        <x:f>IFERROR(K179/J179,0)</x:f>
        <x:v>0.48</x:v>
      </x:c>
      <x:c r="R179" s="30" t="n">
        <x:f>IFERROR(L179/K179,0)</x:f>
        <x:v>0.5</x:v>
      </x:c>
      <x:c r="S179" s="28" t="n">
        <x:f>IFERROR(N179/J179,0)</x:f>
        <x:v>313.97520000000003</x:v>
      </x:c>
      <x:c r="T179" s="28" t="n">
        <x:f>IFERROR(N179/K179,0)</x:f>
        <x:v>654.115</x:v>
      </x:c>
      <x:c r="U179" s="28" t="n">
        <x:f>IFERROR(N179/L179,0)</x:f>
        <x:v>1308.23</x:v>
      </x:c>
    </x:row>
    <x:row r="180">
      <x:c r="A180" t="n">
        <x:v>179</x:v>
      </x:c>
      <x:c r="B180" s="26" t="n">
        <x:v>46067</x:v>
      </x:c>
      <x:c r="C180" t="str">
        <x:v>CPO_Fim_do_Mes</x:v>
      </x:c>
      <x:c r="D180" t="str">
        <x:v>Meta Ads</x:v>
      </x:c>
      <x:c r="E180" t="str">
        <x:v>Jovem Profissional</x:v>
      </x:c>
      <x:c r="F180" t="str">
        <x:v>Luanda</x:v>
      </x:c>
      <x:c r="G180" t="str">
        <x:v>Desktop</x:v>
      </x:c>
      <x:c r="H180" t="n">
        <x:v>17208</x:v>
      </x:c>
      <x:c r="I180" t="n">
        <x:v>298</x:v>
      </x:c>
      <x:c r="J180" t="n">
        <x:v>38</x:v>
      </x:c>
      <x:c r="K180" t="n">
        <x:v>18</x:v>
      </x:c>
      <x:c r="L180" t="n">
        <x:v>13</x:v>
      </x:c>
      <x:c r="M180" s="28" t="n">
        <x:v>20159779.24</x:v>
      </x:c>
      <x:c r="N180" s="28" t="n">
        <x:v>53813.98</x:v>
      </x:c>
      <x:c r="O180" s="30" t="n">
        <x:f>IFERROR(I180/H180,0)</x:f>
        <x:v>0.017317526731752672</x:v>
      </x:c>
      <x:c r="P180" s="30" t="n">
        <x:f>IFERROR(J180/I180,0)</x:f>
        <x:v>0.12751677852348994</x:v>
      </x:c>
      <x:c r="Q180" s="30" t="n">
        <x:f>IFERROR(K180/J180,0)</x:f>
        <x:v>0.47368421052631576</x:v>
      </x:c>
      <x:c r="R180" s="30" t="n">
        <x:f>IFERROR(L180/K180,0)</x:f>
        <x:v>0.7222222222222222</x:v>
      </x:c>
      <x:c r="S180" s="28" t="n">
        <x:f>IFERROR(N180/J180,0)</x:f>
        <x:v>1416.1573684210528</x:v>
      </x:c>
      <x:c r="T180" s="28" t="n">
        <x:f>IFERROR(N180/K180,0)</x:f>
        <x:v>2989.665555555556</x:v>
      </x:c>
      <x:c r="U180" s="28" t="n">
        <x:f>IFERROR(N180/L180,0)</x:f>
        <x:v>4139.536923076923</x:v>
      </x:c>
    </x:row>
    <x:row r="181">
      <x:c r="A181" t="n">
        <x:v>180</x:v>
      </x:c>
      <x:c r="B181" s="26" t="n">
        <x:v>46068</x:v>
      </x:c>
      <x:c r="C181" t="str">
        <x:v>CPO_Acesso_Rapido</x:v>
      </x:c>
      <x:c r="D181" t="str">
        <x:v>Google Ads</x:v>
      </x:c>
      <x:c r="E181" t="str">
        <x:v>Assalariado</x:v>
      </x:c>
      <x:c r="F181" t="str">
        <x:v>Benguela</x:v>
      </x:c>
      <x:c r="G181" t="str">
        <x:v>Desktop</x:v>
      </x:c>
      <x:c r="H181" t="n">
        <x:v>13431</x:v>
      </x:c>
      <x:c r="I181" t="n">
        <x:v>441</x:v>
      </x:c>
      <x:c r="J181" t="n">
        <x:v>61</x:v>
      </x:c>
      <x:c r="K181" t="n">
        <x:v>41</x:v>
      </x:c>
      <x:c r="L181" t="n">
        <x:v>32</x:v>
      </x:c>
      <x:c r="M181" s="28" t="n">
        <x:v>69110481.39</x:v>
      </x:c>
      <x:c r="N181" s="28" t="n">
        <x:v>21505.78</x:v>
      </x:c>
      <x:c r="O181" s="30" t="n">
        <x:f>IFERROR(I181/H181,0)</x:f>
        <x:v>0.03283448737994193</x:v>
      </x:c>
      <x:c r="P181" s="30" t="n">
        <x:f>IFERROR(J181/I181,0)</x:f>
        <x:v>0.1383219954648526</x:v>
      </x:c>
      <x:c r="Q181" s="30" t="n">
        <x:f>IFERROR(K181/J181,0)</x:f>
        <x:v>0.6721311475409836</x:v>
      </x:c>
      <x:c r="R181" s="30" t="n">
        <x:f>IFERROR(L181/K181,0)</x:f>
        <x:v>0.7804878048780488</x:v>
      </x:c>
      <x:c r="S181" s="28" t="n">
        <x:f>IFERROR(N181/J181,0)</x:f>
        <x:v>352.5537704918033</x:v>
      </x:c>
      <x:c r="T181" s="28" t="n">
        <x:f>IFERROR(N181/K181,0)</x:f>
        <x:v>524.5312195121951</x:v>
      </x:c>
      <x:c r="U181" s="28" t="n">
        <x:f>IFERROR(N181/L181,0)</x:f>
        <x:v>672.055625</x:v>
      </x:c>
    </x:row>
    <x:row r="182">
      <x:c r="A182" t="n">
        <x:v>181</x:v>
      </x:c>
      <x:c r="B182" s="26" t="n">
        <x:v>46068</x:v>
      </x:c>
      <x:c r="C182" t="str">
        <x:v>CPO_Acesso_Rapido</x:v>
      </x:c>
      <x:c r="D182" t="str">
        <x:v>E-mail</x:v>
      </x:c>
      <x:c r="E182" t="str">
        <x:v>Premium</x:v>
      </x:c>
      <x:c r="F182" t="str">
        <x:v>Huíla</x:v>
      </x:c>
      <x:c r="G182" t="str">
        <x:v>Android</x:v>
      </x:c>
      <x:c r="H182" t="n">
        <x:v>10651</x:v>
      </x:c>
      <x:c r="I182" t="n">
        <x:v>429</x:v>
      </x:c>
      <x:c r="J182" t="n">
        <x:v>41</x:v>
      </x:c>
      <x:c r="K182" t="n">
        <x:v>26</x:v>
      </x:c>
      <x:c r="L182" t="n">
        <x:v>22</x:v>
      </x:c>
      <x:c r="M182" s="28" t="n">
        <x:v>112333498.34</x:v>
      </x:c>
      <x:c r="N182" s="28" t="n">
        <x:v>55055.08</x:v>
      </x:c>
      <x:c r="O182" s="30" t="n">
        <x:f>IFERROR(I182/H182,0)</x:f>
        <x:v>0.0402779081776359</x:v>
      </x:c>
      <x:c r="P182" s="30" t="n">
        <x:f>IFERROR(J182/I182,0)</x:f>
        <x:v>0.09557109557109557</x:v>
      </x:c>
      <x:c r="Q182" s="30" t="n">
        <x:f>IFERROR(K182/J182,0)</x:f>
        <x:v>0.6341463414634146</x:v>
      </x:c>
      <x:c r="R182" s="30" t="n">
        <x:f>IFERROR(L182/K182,0)</x:f>
        <x:v>0.8461538461538461</x:v>
      </x:c>
      <x:c r="S182" s="28" t="n">
        <x:f>IFERROR(N182/J182,0)</x:f>
        <x:v>1342.8068292682926</x:v>
      </x:c>
      <x:c r="T182" s="28" t="n">
        <x:f>IFERROR(N182/K182,0)</x:f>
        <x:v>2117.503076923077</x:v>
      </x:c>
      <x:c r="U182" s="28" t="n">
        <x:f>IFERROR(N182/L182,0)</x:f>
        <x:v>2502.5036363636364</x:v>
      </x:c>
    </x:row>
    <x:row r="183">
      <x:c r="A183" t="n">
        <x:v>182</x:v>
      </x:c>
      <x:c r="B183" s="26" t="n">
        <x:v>46068</x:v>
      </x:c>
      <x:c r="C183" t="str">
        <x:v>CPO_Acesso_Rapido</x:v>
      </x:c>
      <x:c r="D183" t="str">
        <x:v>Google Ads</x:v>
      </x:c>
      <x:c r="E183" t="str">
        <x:v>Pequeno Negócio</x:v>
      </x:c>
      <x:c r="F183" t="str">
        <x:v>Cuanza Sul</x:v>
      </x:c>
      <x:c r="G183" t="str">
        <x:v>Android</x:v>
      </x:c>
      <x:c r="H183" t="n">
        <x:v>16330</x:v>
      </x:c>
      <x:c r="I183" t="n">
        <x:v>488</x:v>
      </x:c>
      <x:c r="J183" t="n">
        <x:v>57</x:v>
      </x:c>
      <x:c r="K183" t="n">
        <x:v>34</x:v>
      </x:c>
      <x:c r="L183" t="n">
        <x:v>15</x:v>
      </x:c>
      <x:c r="M183" s="28" t="n">
        <x:v>43183829.13</x:v>
      </x:c>
      <x:c r="N183" s="28" t="n">
        <x:v>57052.05</x:v>
      </x:c>
      <x:c r="O183" s="30" t="n">
        <x:f>IFERROR(I183/H183,0)</x:f>
        <x:v>0.029883649724433557</x:v>
      </x:c>
      <x:c r="P183" s="30" t="n">
        <x:f>IFERROR(J183/I183,0)</x:f>
        <x:v>0.1168032786885246</x:v>
      </x:c>
      <x:c r="Q183" s="30" t="n">
        <x:f>IFERROR(K183/J183,0)</x:f>
        <x:v>0.5964912280701754</x:v>
      </x:c>
      <x:c r="R183" s="30" t="n">
        <x:f>IFERROR(L183/K183,0)</x:f>
        <x:v>0.4411764705882353</x:v>
      </x:c>
      <x:c r="S183" s="28" t="n">
        <x:f>IFERROR(N183/J183,0)</x:f>
        <x:v>1000.9131578947369</x:v>
      </x:c>
      <x:c r="T183" s="28" t="n">
        <x:f>IFERROR(N183/K183,0)</x:f>
        <x:v>1678.0014705882354</x:v>
      </x:c>
      <x:c r="U183" s="28" t="n">
        <x:f>IFERROR(N183/L183,0)</x:f>
        <x:v>3803.4700000000003</x:v>
      </x:c>
    </x:row>
    <x:row r="184">
      <x:c r="A184" t="n">
        <x:v>183</x:v>
      </x:c>
      <x:c r="B184" s="26" t="n">
        <x:v>46068</x:v>
      </x:c>
      <x:c r="C184" t="str">
        <x:v>CPO_Salario</x:v>
      </x:c>
      <x:c r="D184" t="str">
        <x:v>Meta Ads</x:v>
      </x:c>
      <x:c r="E184" t="str">
        <x:v>Jovem Profissional</x:v>
      </x:c>
      <x:c r="F184" t="str">
        <x:v>Huambo</x:v>
      </x:c>
      <x:c r="G184" t="str">
        <x:v>Android</x:v>
      </x:c>
      <x:c r="H184" t="n">
        <x:v>10332</x:v>
      </x:c>
      <x:c r="I184" t="n">
        <x:v>123</x:v>
      </x:c>
      <x:c r="J184" t="n">
        <x:v>14</x:v>
      </x:c>
      <x:c r="K184" t="n">
        <x:v>8</x:v>
      </x:c>
      <x:c r="L184" t="n">
        <x:v>3</x:v>
      </x:c>
      <x:c r="M184" s="28" t="n">
        <x:v>3918824.86</x:v>
      </x:c>
      <x:c r="N184" s="28" t="n">
        <x:v>5711.43</x:v>
      </x:c>
      <x:c r="O184" s="30" t="n">
        <x:f>IFERROR(I184/H184,0)</x:f>
        <x:v>0.011904761904761904</x:v>
      </x:c>
      <x:c r="P184" s="30" t="n">
        <x:f>IFERROR(J184/I184,0)</x:f>
        <x:v>0.11382113821138211</x:v>
      </x:c>
      <x:c r="Q184" s="30" t="n">
        <x:f>IFERROR(K184/J184,0)</x:f>
        <x:v>0.5714285714285714</x:v>
      </x:c>
      <x:c r="R184" s="30" t="n">
        <x:f>IFERROR(L184/K184,0)</x:f>
        <x:v>0.375</x:v>
      </x:c>
      <x:c r="S184" s="28" t="n">
        <x:f>IFERROR(N184/J184,0)</x:f>
        <x:v>407.9592857142857</x:v>
      </x:c>
      <x:c r="T184" s="28" t="n">
        <x:f>IFERROR(N184/K184,0)</x:f>
        <x:v>713.92875</x:v>
      </x:c>
      <x:c r="U184" s="28" t="n">
        <x:f>IFERROR(N184/L184,0)</x:f>
        <x:v>1903.8100000000002</x:v>
      </x:c>
    </x:row>
    <x:row r="185">
      <x:c r="A185" t="n">
        <x:v>184</x:v>
      </x:c>
      <x:c r="B185" s="26" t="n">
        <x:v>46069</x:v>
      </x:c>
      <x:c r="C185" t="str">
        <x:v>CPO_Salario</x:v>
      </x:c>
      <x:c r="D185" t="str">
        <x:v>Meta Ads</x:v>
      </x:c>
      <x:c r="E185" t="str">
        <x:v>Pequeno Negócio</x:v>
      </x:c>
      <x:c r="F185" t="str">
        <x:v>Luanda</x:v>
      </x:c>
      <x:c r="G185" t="str">
        <x:v>Android</x:v>
      </x:c>
      <x:c r="H185" t="n">
        <x:v>23187</x:v>
      </x:c>
      <x:c r="I185" t="n">
        <x:v>431</x:v>
      </x:c>
      <x:c r="J185" t="n">
        <x:v>35</x:v>
      </x:c>
      <x:c r="K185" t="n">
        <x:v>13</x:v>
      </x:c>
      <x:c r="L185" t="n">
        <x:v>7</x:v>
      </x:c>
      <x:c r="M185" s="28" t="n">
        <x:v>22337178.61</x:v>
      </x:c>
      <x:c r="N185" s="28" t="n">
        <x:v>30552.95</x:v>
      </x:c>
      <x:c r="O185" s="30" t="n">
        <x:f>IFERROR(I185/H185,0)</x:f>
        <x:v>0.018588001897615045</x:v>
      </x:c>
      <x:c r="P185" s="30" t="n">
        <x:f>IFERROR(J185/I185,0)</x:f>
        <x:v>0.08120649651972157</x:v>
      </x:c>
      <x:c r="Q185" s="30" t="n">
        <x:f>IFERROR(K185/J185,0)</x:f>
        <x:v>0.37142857142857144</x:v>
      </x:c>
      <x:c r="R185" s="30" t="n">
        <x:f>IFERROR(L185/K185,0)</x:f>
        <x:v>0.5384615384615384</x:v>
      </x:c>
      <x:c r="S185" s="28" t="n">
        <x:f>IFERROR(N185/J185,0)</x:f>
        <x:v>872.9414285714286</x:v>
      </x:c>
      <x:c r="T185" s="28" t="n">
        <x:f>IFERROR(N185/K185,0)</x:f>
        <x:v>2350.226923076923</x:v>
      </x:c>
      <x:c r="U185" s="28" t="n">
        <x:f>IFERROR(N185/L185,0)</x:f>
        <x:v>4364.707142857143</x:v>
      </x:c>
    </x:row>
    <x:row r="186">
      <x:c r="A186" t="n">
        <x:v>185</x:v>
      </x:c>
      <x:c r="B186" s="26" t="n">
        <x:v>46069</x:v>
      </x:c>
      <x:c r="C186" t="str">
        <x:v>CPO_Acesso_Rapido</x:v>
      </x:c>
      <x:c r="D186" t="str">
        <x:v>Meta Ads</x:v>
      </x:c>
      <x:c r="E186" t="str">
        <x:v>Jovem Profissional</x:v>
      </x:c>
      <x:c r="F186" t="str">
        <x:v>Cuanza Sul</x:v>
      </x:c>
      <x:c r="G186" t="str">
        <x:v>Desktop</x:v>
      </x:c>
      <x:c r="H186" t="n">
        <x:v>24698</x:v>
      </x:c>
      <x:c r="I186" t="n">
        <x:v>567</x:v>
      </x:c>
      <x:c r="J186" t="n">
        <x:v>75</x:v>
      </x:c>
      <x:c r="K186" t="n">
        <x:v>44</x:v>
      </x:c>
      <x:c r="L186" t="n">
        <x:v>23</x:v>
      </x:c>
      <x:c r="M186" s="28" t="n">
        <x:v>29898180.68</x:v>
      </x:c>
      <x:c r="N186" s="28" t="n">
        <x:v>37729.43</x:v>
      </x:c>
      <x:c r="O186" s="30" t="n">
        <x:f>IFERROR(I186/H186,0)</x:f>
        <x:v>0.022957324479714956</x:v>
      </x:c>
      <x:c r="P186" s="30" t="n">
        <x:f>IFERROR(J186/I186,0)</x:f>
        <x:v>0.13227513227513227</x:v>
      </x:c>
      <x:c r="Q186" s="30" t="n">
        <x:f>IFERROR(K186/J186,0)</x:f>
        <x:v>0.5866666666666667</x:v>
      </x:c>
      <x:c r="R186" s="30" t="n">
        <x:f>IFERROR(L186/K186,0)</x:f>
        <x:v>0.5227272727272727</x:v>
      </x:c>
      <x:c r="S186" s="28" t="n">
        <x:f>IFERROR(N186/J186,0)</x:f>
        <x:v>503.0590666666667</x:v>
      </x:c>
      <x:c r="T186" s="28" t="n">
        <x:f>IFERROR(N186/K186,0)</x:f>
        <x:v>857.4870454545454</x:v>
      </x:c>
      <x:c r="U186" s="28" t="n">
        <x:f>IFERROR(N186/L186,0)</x:f>
        <x:v>1640.41</x:v>
      </x:c>
    </x:row>
    <x:row r="187">
      <x:c r="A187" t="n">
        <x:v>186</x:v>
      </x:c>
      <x:c r="B187" s="26" t="n">
        <x:v>46069</x:v>
      </x:c>
      <x:c r="C187" t="str">
        <x:v>CPO_Salario</x:v>
      </x:c>
      <x:c r="D187" t="str">
        <x:v>Google Ads</x:v>
      </x:c>
      <x:c r="E187" t="str">
        <x:v>Assalariado</x:v>
      </x:c>
      <x:c r="F187" t="str">
        <x:v>Huíla</x:v>
      </x:c>
      <x:c r="G187" t="str">
        <x:v>Android</x:v>
      </x:c>
      <x:c r="H187" t="n">
        <x:v>19154</x:v>
      </x:c>
      <x:c r="I187" t="n">
        <x:v>507</x:v>
      </x:c>
      <x:c r="J187" t="n">
        <x:v>111</x:v>
      </x:c>
      <x:c r="K187" t="n">
        <x:v>72</x:v>
      </x:c>
      <x:c r="L187" t="n">
        <x:v>49</x:v>
      </x:c>
      <x:c r="M187" s="28" t="n">
        <x:v>109976169.76</x:v>
      </x:c>
      <x:c r="N187" s="28" t="n">
        <x:v>60512.83</x:v>
      </x:c>
      <x:c r="O187" s="30" t="n">
        <x:f>IFERROR(I187/H187,0)</x:f>
        <x:v>0.02646966691030594</x:v>
      </x:c>
      <x:c r="P187" s="30" t="n">
        <x:f>IFERROR(J187/I187,0)</x:f>
        <x:v>0.21893491124260356</x:v>
      </x:c>
      <x:c r="Q187" s="30" t="n">
        <x:f>IFERROR(K187/J187,0)</x:f>
        <x:v>0.6486486486486487</x:v>
      </x:c>
      <x:c r="R187" s="30" t="n">
        <x:f>IFERROR(L187/K187,0)</x:f>
        <x:v>0.6805555555555556</x:v>
      </x:c>
      <x:c r="S187" s="28" t="n">
        <x:f>IFERROR(N187/J187,0)</x:f>
        <x:v>545.1606306306306</x:v>
      </x:c>
      <x:c r="T187" s="28" t="n">
        <x:f>IFERROR(N187/K187,0)</x:f>
        <x:v>840.4559722222223</x:v>
      </x:c>
      <x:c r="U187" s="28" t="n">
        <x:f>IFERROR(N187/L187,0)</x:f>
        <x:v>1234.9557142857143</x:v>
      </x:c>
    </x:row>
    <x:row r="188">
      <x:c r="A188" t="n">
        <x:v>187</x:v>
      </x:c>
      <x:c r="B188" s="26" t="n">
        <x:v>46069</x:v>
      </x:c>
      <x:c r="C188" t="str">
        <x:v>CPO_Acesso_Rapido</x:v>
      </x:c>
      <x:c r="D188" t="str">
        <x:v>BAI Directo/App</x:v>
      </x:c>
      <x:c r="E188" t="str">
        <x:v>Assalariado</x:v>
      </x:c>
      <x:c r="F188" t="str">
        <x:v>Cabinda</x:v>
      </x:c>
      <x:c r="G188" t="str">
        <x:v>Desktop</x:v>
      </x:c>
      <x:c r="H188" t="n">
        <x:v>2842</x:v>
      </x:c>
      <x:c r="I188" t="n">
        <x:v>330</x:v>
      </x:c>
      <x:c r="J188" t="n">
        <x:v>71</x:v>
      </x:c>
      <x:c r="K188" t="n">
        <x:v>49</x:v>
      </x:c>
      <x:c r="L188" t="n">
        <x:v>36</x:v>
      </x:c>
      <x:c r="M188" s="28" t="n">
        <x:v>79816452.95</x:v>
      </x:c>
      <x:c r="N188" s="28" t="n">
        <x:v>38279.24</x:v>
      </x:c>
      <x:c r="O188" s="30" t="n">
        <x:f>IFERROR(I188/H188,0)</x:f>
        <x:v>0.11611541168191415</x:v>
      </x:c>
      <x:c r="P188" s="30" t="n">
        <x:f>IFERROR(J188/I188,0)</x:f>
        <x:v>0.21515151515151515</x:v>
      </x:c>
      <x:c r="Q188" s="30" t="n">
        <x:f>IFERROR(K188/J188,0)</x:f>
        <x:v>0.6901408450704225</x:v>
      </x:c>
      <x:c r="R188" s="30" t="n">
        <x:f>IFERROR(L188/K188,0)</x:f>
        <x:v>0.7346938775510204</x:v>
      </x:c>
      <x:c r="S188" s="28" t="n">
        <x:f>IFERROR(N188/J188,0)</x:f>
        <x:v>539.1442253521127</x:v>
      </x:c>
      <x:c r="T188" s="28" t="n">
        <x:f>IFERROR(N188/K188,0)</x:f>
        <x:v>781.2089795918367</x:v>
      </x:c>
      <x:c r="U188" s="28" t="n">
        <x:f>IFERROR(N188/L188,0)</x:f>
        <x:v>1063.312222222222</x:v>
      </x:c>
    </x:row>
    <x:row r="189">
      <x:c r="A189" t="n">
        <x:v>188</x:v>
      </x:c>
      <x:c r="B189" s="26" t="n">
        <x:v>46070</x:v>
      </x:c>
      <x:c r="C189" t="str">
        <x:v>CPO_Salario</x:v>
      </x:c>
      <x:c r="D189" t="str">
        <x:v>SMS</x:v>
      </x:c>
      <x:c r="E189" t="str">
        <x:v>Funcionário Público</x:v>
      </x:c>
      <x:c r="F189" t="str">
        <x:v>Cuanza Sul</x:v>
      </x:c>
      <x:c r="G189" t="str">
        <x:v>Android</x:v>
      </x:c>
      <x:c r="H189" t="n">
        <x:v>10361</x:v>
      </x:c>
      <x:c r="I189" t="n">
        <x:v>997</x:v>
      </x:c>
      <x:c r="J189" t="n">
        <x:v>115</x:v>
      </x:c>
      <x:c r="K189" t="n">
        <x:v>80</x:v>
      </x:c>
      <x:c r="L189" t="n">
        <x:v>48</x:v>
      </x:c>
      <x:c r="M189" s="28" t="n">
        <x:v>89568706.52</x:v>
      </x:c>
      <x:c r="N189" s="28" t="n">
        <x:v>96110.69</x:v>
      </x:c>
      <x:c r="O189" s="30" t="n">
        <x:f>IFERROR(I189/H189,0)</x:f>
        <x:v>0.09622623298909372</x:v>
      </x:c>
      <x:c r="P189" s="30" t="n">
        <x:f>IFERROR(J189/I189,0)</x:f>
        <x:v>0.11534603811434303</x:v>
      </x:c>
      <x:c r="Q189" s="30" t="n">
        <x:f>IFERROR(K189/J189,0)</x:f>
        <x:v>0.6956521739130435</x:v>
      </x:c>
      <x:c r="R189" s="30" t="n">
        <x:f>IFERROR(L189/K189,0)</x:f>
        <x:v>0.6</x:v>
      </x:c>
      <x:c r="S189" s="28" t="n">
        <x:f>IFERROR(N189/J189,0)</x:f>
        <x:v>835.7451304347826</x:v>
      </x:c>
      <x:c r="T189" s="28" t="n">
        <x:f>IFERROR(N189/K189,0)</x:f>
        <x:v>1201.383625</x:v>
      </x:c>
      <x:c r="U189" s="28" t="n">
        <x:f>IFERROR(N189/L189,0)</x:f>
        <x:v>2002.3060416666667</x:v>
      </x:c>
    </x:row>
    <x:row r="190">
      <x:c r="A190" t="n">
        <x:v>189</x:v>
      </x:c>
      <x:c r="B190" s="26" t="n">
        <x:v>46070</x:v>
      </x:c>
      <x:c r="C190" t="str">
        <x:v>CPO_Salario</x:v>
      </x:c>
      <x:c r="D190" t="str">
        <x:v>BAI Directo/App</x:v>
      </x:c>
      <x:c r="E190" t="str">
        <x:v>Assalariado</x:v>
      </x:c>
      <x:c r="F190" t="str">
        <x:v>Luanda</x:v>
      </x:c>
      <x:c r="G190" t="str">
        <x:v>Desktop</x:v>
      </x:c>
      <x:c r="H190" t="n">
        <x:v>3028</x:v>
      </x:c>
      <x:c r="I190" t="n">
        <x:v>376</x:v>
      </x:c>
      <x:c r="J190" t="n">
        <x:v>70</x:v>
      </x:c>
      <x:c r="K190" t="n">
        <x:v>51</x:v>
      </x:c>
      <x:c r="L190" t="n">
        <x:v>28</x:v>
      </x:c>
      <x:c r="M190" s="28" t="n">
        <x:v>60245811.68</x:v>
      </x:c>
      <x:c r="N190" s="28" t="n">
        <x:v>37141.59</x:v>
      </x:c>
      <x:c r="O190" s="30" t="n">
        <x:f>IFERROR(I190/H190,0)</x:f>
        <x:v>0.12417437252311757</x:v>
      </x:c>
      <x:c r="P190" s="30" t="n">
        <x:f>IFERROR(J190/I190,0)</x:f>
        <x:v>0.18617021276595744</x:v>
      </x:c>
      <x:c r="Q190" s="30" t="n">
        <x:f>IFERROR(K190/J190,0)</x:f>
        <x:v>0.7285714285714285</x:v>
      </x:c>
      <x:c r="R190" s="30" t="n">
        <x:f>IFERROR(L190/K190,0)</x:f>
        <x:v>0.5490196078431373</x:v>
      </x:c>
      <x:c r="S190" s="28" t="n">
        <x:f>IFERROR(N190/J190,0)</x:f>
        <x:v>530.5941428571429</x:v>
      </x:c>
      <x:c r="T190" s="28" t="n">
        <x:f>IFERROR(N190/K190,0)</x:f>
        <x:v>728.2664705882353</x:v>
      </x:c>
      <x:c r="U190" s="28" t="n">
        <x:f>IFERROR(N190/L190,0)</x:f>
        <x:v>1326.485357142857</x:v>
      </x:c>
    </x:row>
    <x:row r="191">
      <x:c r="A191" t="n">
        <x:v>190</x:v>
      </x:c>
      <x:c r="B191" s="26" t="n">
        <x:v>46070</x:v>
      </x:c>
      <x:c r="C191" t="str">
        <x:v>CPO_Always_On</x:v>
      </x:c>
      <x:c r="D191" t="str">
        <x:v>SMS</x:v>
      </x:c>
      <x:c r="E191" t="str">
        <x:v>Funcionário Público</x:v>
      </x:c>
      <x:c r="F191" t="str">
        <x:v>Luanda</x:v>
      </x:c>
      <x:c r="G191" t="str">
        <x:v>iOS</x:v>
      </x:c>
      <x:c r="H191" t="n">
        <x:v>10216</x:v>
      </x:c>
      <x:c r="I191" t="n">
        <x:v>1113</x:v>
      </x:c>
      <x:c r="J191" t="n">
        <x:v>167</x:v>
      </x:c>
      <x:c r="K191" t="n">
        <x:v>140</x:v>
      </x:c>
      <x:c r="L191" t="n">
        <x:v>105</x:v>
      </x:c>
      <x:c r="M191" s="28" t="n">
        <x:v>186550843.11</x:v>
      </x:c>
      <x:c r="N191" s="28" t="n">
        <x:v>182428.28</x:v>
      </x:c>
      <x:c r="O191" s="30" t="n">
        <x:f>IFERROR(I191/H191,0)</x:f>
        <x:v>0.10894675019577134</x:v>
      </x:c>
      <x:c r="P191" s="30" t="n">
        <x:f>IFERROR(J191/I191,0)</x:f>
        <x:v>0.1500449236298293</x:v>
      </x:c>
      <x:c r="Q191" s="30" t="n">
        <x:f>IFERROR(K191/J191,0)</x:f>
        <x:v>0.8383233532934131</x:v>
      </x:c>
      <x:c r="R191" s="30" t="n">
        <x:f>IFERROR(L191/K191,0)</x:f>
        <x:v>0.75</x:v>
      </x:c>
      <x:c r="S191" s="28" t="n">
        <x:f>IFERROR(N191/J191,0)</x:f>
        <x:v>1092.3849101796407</x:v>
      </x:c>
      <x:c r="T191" s="28" t="n">
        <x:f>IFERROR(N191/K191,0)</x:f>
        <x:v>1303.059142857143</x:v>
      </x:c>
      <x:c r="U191" s="28" t="n">
        <x:f>IFERROR(N191/L191,0)</x:f>
        <x:v>1737.4121904761905</x:v>
      </x:c>
    </x:row>
    <x:row r="192">
      <x:c r="A192" t="n">
        <x:v>191</x:v>
      </x:c>
      <x:c r="B192" s="26" t="n">
        <x:v>46071</x:v>
      </x:c>
      <x:c r="C192" t="str">
        <x:v>CPO_Fim_do_Mes</x:v>
      </x:c>
      <x:c r="D192" t="str">
        <x:v>E-mail</x:v>
      </x:c>
      <x:c r="E192" t="str">
        <x:v>Pequeno Negócio</x:v>
      </x:c>
      <x:c r="F192" t="str">
        <x:v>Luanda</x:v>
      </x:c>
      <x:c r="G192" t="str">
        <x:v>Desktop</x:v>
      </x:c>
      <x:c r="H192" t="n">
        <x:v>6214</x:v>
      </x:c>
      <x:c r="I192" t="n">
        <x:v>254</x:v>
      </x:c>
      <x:c r="J192" t="n">
        <x:v>32</x:v>
      </x:c>
      <x:c r="K192" t="n">
        <x:v>14</x:v>
      </x:c>
      <x:c r="L192" t="n">
        <x:v>5</x:v>
      </x:c>
      <x:c r="M192" s="28" t="n">
        <x:v>8767924.03</x:v>
      </x:c>
      <x:c r="N192" s="28" t="n">
        <x:v>48279.7</x:v>
      </x:c>
      <x:c r="O192" s="30" t="n">
        <x:f>IFERROR(I192/H192,0)</x:f>
        <x:v>0.040875442549082715</x:v>
      </x:c>
      <x:c r="P192" s="30" t="n">
        <x:f>IFERROR(J192/I192,0)</x:f>
        <x:v>0.12598425196850394</x:v>
      </x:c>
      <x:c r="Q192" s="30" t="n">
        <x:f>IFERROR(K192/J192,0)</x:f>
        <x:v>0.4375</x:v>
      </x:c>
      <x:c r="R192" s="30" t="n">
        <x:f>IFERROR(L192/K192,0)</x:f>
        <x:v>0.35714285714285715</x:v>
      </x:c>
      <x:c r="S192" s="28" t="n">
        <x:f>IFERROR(N192/J192,0)</x:f>
        <x:v>1508.740625</x:v>
      </x:c>
      <x:c r="T192" s="28" t="n">
        <x:f>IFERROR(N192/K192,0)</x:f>
        <x:v>3448.5499999999997</x:v>
      </x:c>
      <x:c r="U192" s="28" t="n">
        <x:f>IFERROR(N192/L192,0)</x:f>
        <x:v>9655.939999999999</x:v>
      </x:c>
    </x:row>
    <x:row r="193">
      <x:c r="A193" t="n">
        <x:v>192</x:v>
      </x:c>
      <x:c r="B193" s="26" t="n">
        <x:v>46071</x:v>
      </x:c>
      <x:c r="C193" t="str">
        <x:v>CPO_Fim_do_Mes</x:v>
      </x:c>
      <x:c r="D193" t="str">
        <x:v>BAI Directo/App</x:v>
      </x:c>
      <x:c r="E193" t="str">
        <x:v>Funcionário Público</x:v>
      </x:c>
      <x:c r="F193" t="str">
        <x:v>Luanda</x:v>
      </x:c>
      <x:c r="G193" t="str">
        <x:v>Android</x:v>
      </x:c>
      <x:c r="H193" t="n">
        <x:v>8254</x:v>
      </x:c>
      <x:c r="I193" t="n">
        <x:v>697</x:v>
      </x:c>
      <x:c r="J193" t="n">
        <x:v>172</x:v>
      </x:c>
      <x:c r="K193" t="n">
        <x:v>122</x:v>
      </x:c>
      <x:c r="L193" t="n">
        <x:v>100</x:v>
      </x:c>
      <x:c r="M193" s="28" t="n">
        <x:v>182222161.44</x:v>
      </x:c>
      <x:c r="N193" s="28" t="n">
        <x:v>85373.32</x:v>
      </x:c>
      <x:c r="O193" s="30" t="n">
        <x:f>IFERROR(I193/H193,0)</x:f>
        <x:v>0.08444390598497697</x:v>
      </x:c>
      <x:c r="P193" s="30" t="n">
        <x:f>IFERROR(J193/I193,0)</x:f>
        <x:v>0.2467718794835007</x:v>
      </x:c>
      <x:c r="Q193" s="30" t="n">
        <x:f>IFERROR(K193/J193,0)</x:f>
        <x:v>0.7093023255813954</x:v>
      </x:c>
      <x:c r="R193" s="30" t="n">
        <x:f>IFERROR(L193/K193,0)</x:f>
        <x:v>0.819672131147541</x:v>
      </x:c>
      <x:c r="S193" s="28" t="n">
        <x:f>IFERROR(N193/J193,0)</x:f>
        <x:v>496.356511627907</x:v>
      </x:c>
      <x:c r="T193" s="28" t="n">
        <x:f>IFERROR(N193/K193,0)</x:f>
        <x:v>699.7813114754099</x:v>
      </x:c>
      <x:c r="U193" s="28" t="n">
        <x:f>IFERROR(N193/L193,0)</x:f>
        <x:v>853.7332000000001</x:v>
      </x:c>
    </x:row>
    <x:row r="194">
      <x:c r="A194" t="n">
        <x:v>193</x:v>
      </x:c>
      <x:c r="B194" s="26" t="n">
        <x:v>46071</x:v>
      </x:c>
      <x:c r="C194" t="str">
        <x:v>CPO_Acesso_Rapido</x:v>
      </x:c>
      <x:c r="D194" t="str">
        <x:v>BAI Directo/App</x:v>
      </x:c>
      <x:c r="E194" t="str">
        <x:v>Pequeno Negócio</x:v>
      </x:c>
      <x:c r="F194" t="str">
        <x:v>Luanda</x:v>
      </x:c>
      <x:c r="G194" t="str">
        <x:v>Desktop</x:v>
      </x:c>
      <x:c r="H194" t="n">
        <x:v>7204</x:v>
      </x:c>
      <x:c r="I194" t="n">
        <x:v>887</x:v>
      </x:c>
      <x:c r="J194" t="n">
        <x:v>178</x:v>
      </x:c>
      <x:c r="K194" t="n">
        <x:v>81</x:v>
      </x:c>
      <x:c r="L194" t="n">
        <x:v>21</x:v>
      </x:c>
      <x:c r="M194" s="28" t="n">
        <x:v>63756070.78</x:v>
      </x:c>
      <x:c r="N194" s="28" t="n">
        <x:v>93213.06</x:v>
      </x:c>
      <x:c r="O194" s="30" t="n">
        <x:f>IFERROR(I194/H194,0)</x:f>
        <x:v>0.12312604108828429</x:v>
      </x:c>
      <x:c r="P194" s="30" t="n">
        <x:f>IFERROR(J194/I194,0)</x:f>
        <x:v>0.20067643742953778</x:v>
      </x:c>
      <x:c r="Q194" s="30" t="n">
        <x:f>IFERROR(K194/J194,0)</x:f>
        <x:v>0.4550561797752809</x:v>
      </x:c>
      <x:c r="R194" s="30" t="n">
        <x:f>IFERROR(L194/K194,0)</x:f>
        <x:v>0.25925925925925924</x:v>
      </x:c>
      <x:c r="S194" s="28" t="n">
        <x:f>IFERROR(N194/J194,0)</x:f>
        <x:v>523.6688764044943</x:v>
      </x:c>
      <x:c r="T194" s="28" t="n">
        <x:f>IFERROR(N194/K194,0)</x:f>
        <x:v>1150.7785185185185</x:v>
      </x:c>
      <x:c r="U194" s="28" t="n">
        <x:f>IFERROR(N194/L194,0)</x:f>
        <x:v>4438.717142857143</x:v>
      </x:c>
    </x:row>
    <x:row r="195">
      <x:c r="A195" t="n">
        <x:v>194</x:v>
      </x:c>
      <x:c r="B195" s="26" t="n">
        <x:v>46071</x:v>
      </x:c>
      <x:c r="C195" t="str">
        <x:v>CPO_Always_On</x:v>
      </x:c>
      <x:c r="D195" t="str">
        <x:v>Google Ads</x:v>
      </x:c>
      <x:c r="E195" t="str">
        <x:v>Assalariado</x:v>
      </x:c>
      <x:c r="F195" t="str">
        <x:v>Luanda</x:v>
      </x:c>
      <x:c r="G195" t="str">
        <x:v>Android</x:v>
      </x:c>
      <x:c r="H195" t="n">
        <x:v>15094</x:v>
      </x:c>
      <x:c r="I195" t="n">
        <x:v>603</x:v>
      </x:c>
      <x:c r="J195" t="n">
        <x:v>78</x:v>
      </x:c>
      <x:c r="K195" t="n">
        <x:v>57</x:v>
      </x:c>
      <x:c r="L195" t="n">
        <x:v>43</x:v>
      </x:c>
      <x:c r="M195" s="28" t="n">
        <x:v>100172543.8</x:v>
      </x:c>
      <x:c r="N195" s="28" t="n">
        <x:v>106025.27</x:v>
      </x:c>
      <x:c r="O195" s="30" t="n">
        <x:f>IFERROR(I195/H195,0)</x:f>
        <x:v>0.03994964886709951</x:v>
      </x:c>
      <x:c r="P195" s="30" t="n">
        <x:f>IFERROR(J195/I195,0)</x:f>
        <x:v>0.12935323383084577</x:v>
      </x:c>
      <x:c r="Q195" s="30" t="n">
        <x:f>IFERROR(K195/J195,0)</x:f>
        <x:v>0.7307692307692307</x:v>
      </x:c>
      <x:c r="R195" s="30" t="n">
        <x:f>IFERROR(L195/K195,0)</x:f>
        <x:v>0.7543859649122807</x:v>
      </x:c>
      <x:c r="S195" s="28" t="n">
        <x:f>IFERROR(N195/J195,0)</x:f>
        <x:v>1359.2983333333334</x:v>
      </x:c>
      <x:c r="T195" s="28" t="n">
        <x:f>IFERROR(N195/K195,0)</x:f>
        <x:v>1860.092456140351</x:v>
      </x:c>
      <x:c r="U195" s="28" t="n">
        <x:f>IFERROR(N195/L195,0)</x:f>
        <x:v>2465.703953488372</x:v>
      </x:c>
    </x:row>
    <x:row r="196">
      <x:c r="A196" t="n">
        <x:v>195</x:v>
      </x:c>
      <x:c r="B196" s="26" t="n">
        <x:v>46071</x:v>
      </x:c>
      <x:c r="C196" t="str">
        <x:v>CPO_Always_On</x:v>
      </x:c>
      <x:c r="D196" t="str">
        <x:v>SMS</x:v>
      </x:c>
      <x:c r="E196" t="str">
        <x:v>Funcionário Público</x:v>
      </x:c>
      <x:c r="F196" t="str">
        <x:v>Huíla</x:v>
      </x:c>
      <x:c r="G196" t="str">
        <x:v>iOS</x:v>
      </x:c>
      <x:c r="H196" t="n">
        <x:v>3621</x:v>
      </x:c>
      <x:c r="I196" t="n">
        <x:v>333</x:v>
      </x:c>
      <x:c r="J196" t="n">
        <x:v>45</x:v>
      </x:c>
      <x:c r="K196" t="n">
        <x:v>32</x:v>
      </x:c>
      <x:c r="L196" t="n">
        <x:v>23</x:v>
      </x:c>
      <x:c r="M196" s="28" t="n">
        <x:v>41037570.44</x:v>
      </x:c>
      <x:c r="N196" s="28" t="n">
        <x:v>30482.16</x:v>
      </x:c>
      <x:c r="O196" s="30" t="n">
        <x:f>IFERROR(I196/H196,0)</x:f>
        <x:v>0.09196354598177299</x:v>
      </x:c>
      <x:c r="P196" s="30" t="n">
        <x:f>IFERROR(J196/I196,0)</x:f>
        <x:v>0.13513513513513514</x:v>
      </x:c>
      <x:c r="Q196" s="30" t="n">
        <x:f>IFERROR(K196/J196,0)</x:f>
        <x:v>0.7111111111111111</x:v>
      </x:c>
      <x:c r="R196" s="30" t="n">
        <x:f>IFERROR(L196/K196,0)</x:f>
        <x:v>0.71875</x:v>
      </x:c>
      <x:c r="S196" s="28" t="n">
        <x:f>IFERROR(N196/J196,0)</x:f>
        <x:v>677.3813333333334</x:v>
      </x:c>
      <x:c r="T196" s="28" t="n">
        <x:f>IFERROR(N196/K196,0)</x:f>
        <x:v>952.5675</x:v>
      </x:c>
      <x:c r="U196" s="28" t="n">
        <x:f>IFERROR(N196/L196,0)</x:f>
        <x:v>1325.311304347826</x:v>
      </x:c>
    </x:row>
    <x:row r="197">
      <x:c r="A197" t="n">
        <x:v>196</x:v>
      </x:c>
      <x:c r="B197" s="26" t="n">
        <x:v>46072</x:v>
      </x:c>
      <x:c r="C197" t="str">
        <x:v>CPO_Digital_360</x:v>
      </x:c>
      <x:c r="D197" t="str">
        <x:v>SMS</x:v>
      </x:c>
      <x:c r="E197" t="str">
        <x:v>Pequeno Negócio</x:v>
      </x:c>
      <x:c r="F197" t="str">
        <x:v>Luanda</x:v>
      </x:c>
      <x:c r="G197" t="str">
        <x:v>Android</x:v>
      </x:c>
      <x:c r="H197" t="n">
        <x:v>2541</x:v>
      </x:c>
      <x:c r="I197" t="n">
        <x:v>248</x:v>
      </x:c>
      <x:c r="J197" t="n">
        <x:v>44</x:v>
      </x:c>
      <x:c r="K197" t="n">
        <x:v>19</x:v>
      </x:c>
      <x:c r="L197" t="n">
        <x:v>7</x:v>
      </x:c>
      <x:c r="M197" s="28" t="n">
        <x:v>24862410.41</x:v>
      </x:c>
      <x:c r="N197" s="28" t="n">
        <x:v>17096.01</x:v>
      </x:c>
      <x:c r="O197" s="30" t="n">
        <x:f>IFERROR(I197/H197,0)</x:f>
        <x:v>0.09759937032664305</x:v>
      </x:c>
      <x:c r="P197" s="30" t="n">
        <x:f>IFERROR(J197/I197,0)</x:f>
        <x:v>0.1774193548387097</x:v>
      </x:c>
      <x:c r="Q197" s="30" t="n">
        <x:f>IFERROR(K197/J197,0)</x:f>
        <x:v>0.4318181818181818</x:v>
      </x:c>
      <x:c r="R197" s="30" t="n">
        <x:f>IFERROR(L197/K197,0)</x:f>
        <x:v>0.3684210526315789</x:v>
      </x:c>
      <x:c r="S197" s="28" t="n">
        <x:f>IFERROR(N197/J197,0)</x:f>
        <x:v>388.5456818181818</x:v>
      </x:c>
      <x:c r="T197" s="28" t="n">
        <x:f>IFERROR(N197/K197,0)</x:f>
        <x:v>899.79</x:v>
      </x:c>
      <x:c r="U197" s="28" t="n">
        <x:f>IFERROR(N197/L197,0)</x:f>
        <x:v>2442.2871428571425</x:v>
      </x:c>
    </x:row>
    <x:row r="198">
      <x:c r="A198" t="n">
        <x:v>197</x:v>
      </x:c>
      <x:c r="B198" s="26" t="n">
        <x:v>46072</x:v>
      </x:c>
      <x:c r="C198" t="str">
        <x:v>CPO_Fim_do_Mes</x:v>
      </x:c>
      <x:c r="D198" t="str">
        <x:v>SMS</x:v>
      </x:c>
      <x:c r="E198" t="str">
        <x:v>Pequeno Negócio</x:v>
      </x:c>
      <x:c r="F198" t="str">
        <x:v>Huambo</x:v>
      </x:c>
      <x:c r="G198" t="str">
        <x:v>Desktop</x:v>
      </x:c>
      <x:c r="H198" t="n">
        <x:v>7668</x:v>
      </x:c>
      <x:c r="I198" t="n">
        <x:v>646</x:v>
      </x:c>
      <x:c r="J198" t="n">
        <x:v>83</x:v>
      </x:c>
      <x:c r="K198" t="n">
        <x:v>28</x:v>
      </x:c>
      <x:c r="L198" t="n">
        <x:v>9</x:v>
      </x:c>
      <x:c r="M198" s="28" t="n">
        <x:v>27121259.73</x:v>
      </x:c>
      <x:c r="N198" s="28" t="n">
        <x:v>63069.37</x:v>
      </x:c>
      <x:c r="O198" s="30" t="n">
        <x:f>IFERROR(I198/H198,0)</x:f>
        <x:v>0.08424621804903495</x:v>
      </x:c>
      <x:c r="P198" s="30" t="n">
        <x:f>IFERROR(J198/I198,0)</x:f>
        <x:v>0.12848297213622292</x:v>
      </x:c>
      <x:c r="Q198" s="30" t="n">
        <x:f>IFERROR(K198/J198,0)</x:f>
        <x:v>0.3373493975903614</x:v>
      </x:c>
      <x:c r="R198" s="30" t="n">
        <x:f>IFERROR(L198/K198,0)</x:f>
        <x:v>0.32142857142857145</x:v>
      </x:c>
      <x:c r="S198" s="28" t="n">
        <x:f>IFERROR(N198/J198,0)</x:f>
        <x:v>759.8719277108434</x:v>
      </x:c>
      <x:c r="T198" s="28" t="n">
        <x:f>IFERROR(N198/K198,0)</x:f>
        <x:v>2252.4775</x:v>
      </x:c>
      <x:c r="U198" s="28" t="n">
        <x:f>IFERROR(N198/L198,0)</x:f>
        <x:v>7007.707777777778</x:v>
      </x:c>
    </x:row>
    <x:row r="199">
      <x:c r="A199" t="n">
        <x:v>198</x:v>
      </x:c>
      <x:c r="B199" s="26" t="n">
        <x:v>46072</x:v>
      </x:c>
      <x:c r="C199" t="str">
        <x:v>CPO_Salario</x:v>
      </x:c>
      <x:c r="D199" t="str">
        <x:v>SMS</x:v>
      </x:c>
      <x:c r="E199" t="str">
        <x:v>Assalariado</x:v>
      </x:c>
      <x:c r="F199" t="str">
        <x:v>Huambo</x:v>
      </x:c>
      <x:c r="G199" t="str">
        <x:v>Android</x:v>
      </x:c>
      <x:c r="H199" t="n">
        <x:v>3245</x:v>
      </x:c>
      <x:c r="I199" t="n">
        <x:v>168</x:v>
      </x:c>
      <x:c r="J199" t="n">
        <x:v>27</x:v>
      </x:c>
      <x:c r="K199" t="n">
        <x:v>16</x:v>
      </x:c>
      <x:c r="L199" t="n">
        <x:v>11</x:v>
      </x:c>
      <x:c r="M199" s="28" t="n">
        <x:v>27335325.67</x:v>
      </x:c>
      <x:c r="N199" s="28" t="n">
        <x:v>36052.01</x:v>
      </x:c>
      <x:c r="O199" s="30" t="n">
        <x:f>IFERROR(I199/H199,0)</x:f>
        <x:v>0.05177195685670262</x:v>
      </x:c>
      <x:c r="P199" s="30" t="n">
        <x:f>IFERROR(J199/I199,0)</x:f>
        <x:v>0.16071428571428573</x:v>
      </x:c>
      <x:c r="Q199" s="30" t="n">
        <x:f>IFERROR(K199/J199,0)</x:f>
        <x:v>0.5925925925925926</x:v>
      </x:c>
      <x:c r="R199" s="30" t="n">
        <x:f>IFERROR(L199/K199,0)</x:f>
        <x:v>0.6875</x:v>
      </x:c>
      <x:c r="S199" s="28" t="n">
        <x:f>IFERROR(N199/J199,0)</x:f>
        <x:v>1335.2596296296297</x:v>
      </x:c>
      <x:c r="T199" s="28" t="n">
        <x:f>IFERROR(N199/K199,0)</x:f>
        <x:v>2253.250625</x:v>
      </x:c>
      <x:c r="U199" s="28" t="n">
        <x:f>IFERROR(N199/L199,0)</x:f>
        <x:v>3277.455454545455</x:v>
      </x:c>
    </x:row>
    <x:row r="200">
      <x:c r="A200" t="n">
        <x:v>199</x:v>
      </x:c>
      <x:c r="B200" s="26" t="n">
        <x:v>46072</x:v>
      </x:c>
      <x:c r="C200" t="str">
        <x:v>CPO_Always_On</x:v>
      </x:c>
      <x:c r="D200" t="str">
        <x:v>Google Ads</x:v>
      </x:c>
      <x:c r="E200" t="str">
        <x:v>Jovem Profissional</x:v>
      </x:c>
      <x:c r="F200" t="str">
        <x:v>Luanda</x:v>
      </x:c>
      <x:c r="G200" t="str">
        <x:v>Desktop</x:v>
      </x:c>
      <x:c r="H200" t="n">
        <x:v>5430</x:v>
      </x:c>
      <x:c r="I200" t="n">
        <x:v>261</x:v>
      </x:c>
      <x:c r="J200" t="n">
        <x:v>56</x:v>
      </x:c>
      <x:c r="K200" t="n">
        <x:v>39</x:v>
      </x:c>
      <x:c r="L200" t="n">
        <x:v>24</x:v>
      </x:c>
      <x:c r="M200" s="28" t="n">
        <x:v>27252155.08</x:v>
      </x:c>
      <x:c r="N200" s="28" t="n">
        <x:v>28281.84</x:v>
      </x:c>
      <x:c r="O200" s="30" t="n">
        <x:f>IFERROR(I200/H200,0)</x:f>
        <x:v>0.04806629834254143</x:v>
      </x:c>
      <x:c r="P200" s="30" t="n">
        <x:f>IFERROR(J200/I200,0)</x:f>
        <x:v>0.21455938697318008</x:v>
      </x:c>
      <x:c r="Q200" s="30" t="n">
        <x:f>IFERROR(K200/J200,0)</x:f>
        <x:v>0.6964285714285714</x:v>
      </x:c>
      <x:c r="R200" s="30" t="n">
        <x:f>IFERROR(L200/K200,0)</x:f>
        <x:v>0.6153846153846154</x:v>
      </x:c>
      <x:c r="S200" s="28" t="n">
        <x:f>IFERROR(N200/J200,0)</x:f>
        <x:v>505.03285714285715</x:v>
      </x:c>
      <x:c r="T200" s="28" t="n">
        <x:f>IFERROR(N200/K200,0)</x:f>
        <x:v>725.1753846153846</x:v>
      </x:c>
      <x:c r="U200" s="28" t="n">
        <x:f>IFERROR(N200/L200,0)</x:f>
        <x:v>1178.41</x:v>
      </x:c>
    </x:row>
    <x:row r="201">
      <x:c r="A201" t="n">
        <x:v>200</x:v>
      </x:c>
      <x:c r="B201" s="26" t="n">
        <x:v>46073</x:v>
      </x:c>
      <x:c r="C201" t="str">
        <x:v>CPO_Acesso_Rapido</x:v>
      </x:c>
      <x:c r="D201" t="str">
        <x:v>Google Ads</x:v>
      </x:c>
      <x:c r="E201" t="str">
        <x:v>Premium</x:v>
      </x:c>
      <x:c r="F201" t="str">
        <x:v>Luanda</x:v>
      </x:c>
      <x:c r="G201" t="str">
        <x:v>Android</x:v>
      </x:c>
      <x:c r="H201" t="n">
        <x:v>13648</x:v>
      </x:c>
      <x:c r="I201" t="n">
        <x:v>410</x:v>
      </x:c>
      <x:c r="J201" t="n">
        <x:v>38</x:v>
      </x:c>
      <x:c r="K201" t="n">
        <x:v>28</x:v>
      </x:c>
      <x:c r="L201" t="n">
        <x:v>20</x:v>
      </x:c>
      <x:c r="M201" s="28" t="n">
        <x:v>99864149.78</x:v>
      </x:c>
      <x:c r="N201" s="28" t="n">
        <x:v>74504.81</x:v>
      </x:c>
      <x:c r="O201" s="30" t="n">
        <x:f>IFERROR(I201/H201,0)</x:f>
        <x:v>0.03004103165298945</x:v>
      </x:c>
      <x:c r="P201" s="30" t="n">
        <x:f>IFERROR(J201/I201,0)</x:f>
        <x:v>0.09268292682926829</x:v>
      </x:c>
      <x:c r="Q201" s="30" t="n">
        <x:f>IFERROR(K201/J201,0)</x:f>
        <x:v>0.7368421052631579</x:v>
      </x:c>
      <x:c r="R201" s="30" t="n">
        <x:f>IFERROR(L201/K201,0)</x:f>
        <x:v>0.7142857142857143</x:v>
      </x:c>
      <x:c r="S201" s="28" t="n">
        <x:f>IFERROR(N201/J201,0)</x:f>
        <x:v>1960.652894736842</x:v>
      </x:c>
      <x:c r="T201" s="28" t="n">
        <x:f>IFERROR(N201/K201,0)</x:f>
        <x:v>2660.8860714285715</x:v>
      </x:c>
      <x:c r="U201" s="28" t="n">
        <x:f>IFERROR(N201/L201,0)</x:f>
        <x:v>3725.2405</x:v>
      </x:c>
    </x:row>
    <x:row r="202">
      <x:c r="A202" t="n">
        <x:v>201</x:v>
      </x:c>
      <x:c r="B202" s="26" t="n">
        <x:v>46073</x:v>
      </x:c>
      <x:c r="C202" t="str">
        <x:v>CPO_Digital_360</x:v>
      </x:c>
      <x:c r="D202" t="str">
        <x:v>Google Ads</x:v>
      </x:c>
      <x:c r="E202" t="str">
        <x:v>Funcionário Público</x:v>
      </x:c>
      <x:c r="F202" t="str">
        <x:v>Huambo</x:v>
      </x:c>
      <x:c r="G202" t="str">
        <x:v>Android</x:v>
      </x:c>
      <x:c r="H202" t="n">
        <x:v>7279</x:v>
      </x:c>
      <x:c r="I202" t="n">
        <x:v>224</x:v>
      </x:c>
      <x:c r="J202" t="n">
        <x:v>23</x:v>
      </x:c>
      <x:c r="K202" t="n">
        <x:v>16</x:v>
      </x:c>
      <x:c r="L202" t="n">
        <x:v>11</x:v>
      </x:c>
      <x:c r="M202" s="28" t="n">
        <x:v>20818805.53</x:v>
      </x:c>
      <x:c r="N202" s="28" t="n">
        <x:v>15039.77</x:v>
      </x:c>
      <x:c r="O202" s="30" t="n">
        <x:f>IFERROR(I202/H202,0)</x:f>
        <x:v>0.03077345789256766</x:v>
      </x:c>
      <x:c r="P202" s="30" t="n">
        <x:f>IFERROR(J202/I202,0)</x:f>
        <x:v>0.10267857142857142</x:v>
      </x:c>
      <x:c r="Q202" s="30" t="n">
        <x:f>IFERROR(K202/J202,0)</x:f>
        <x:v>0.6956521739130435</x:v>
      </x:c>
      <x:c r="R202" s="30" t="n">
        <x:f>IFERROR(L202/K202,0)</x:f>
        <x:v>0.6875</x:v>
      </x:c>
      <x:c r="S202" s="28" t="n">
        <x:f>IFERROR(N202/J202,0)</x:f>
        <x:v>653.9030434782609</x:v>
      </x:c>
      <x:c r="T202" s="28" t="n">
        <x:f>IFERROR(N202/K202,0)</x:f>
        <x:v>939.985625</x:v>
      </x:c>
      <x:c r="U202" s="28" t="n">
        <x:f>IFERROR(N202/L202,0)</x:f>
        <x:v>1367.2518181818182</x:v>
      </x:c>
    </x:row>
    <x:row r="203">
      <x:c r="A203" t="n">
        <x:v>202</x:v>
      </x:c>
      <x:c r="B203" s="26" t="n">
        <x:v>46073</x:v>
      </x:c>
      <x:c r="C203" t="str">
        <x:v>CPO_Salario</x:v>
      </x:c>
      <x:c r="D203" t="str">
        <x:v>BAI Directo/App</x:v>
      </x:c>
      <x:c r="E203" t="str">
        <x:v>Jovem Profissional</x:v>
      </x:c>
      <x:c r="F203" t="str">
        <x:v>Cuanza Sul</x:v>
      </x:c>
      <x:c r="G203" t="str">
        <x:v>Desktop</x:v>
      </x:c>
      <x:c r="H203" t="n">
        <x:v>1761</x:v>
      </x:c>
      <x:c r="I203" t="n">
        <x:v>222</x:v>
      </x:c>
      <x:c r="J203" t="n">
        <x:v>59</x:v>
      </x:c>
      <x:c r="K203" t="n">
        <x:v>29</x:v>
      </x:c>
      <x:c r="L203" t="n">
        <x:v>19</x:v>
      </x:c>
      <x:c r="M203" s="28" t="n">
        <x:v>26602757.43</x:v>
      </x:c>
      <x:c r="N203" s="28" t="n">
        <x:v>26184.59</x:v>
      </x:c>
      <x:c r="O203" s="30" t="n">
        <x:f>IFERROR(I203/H203,0)</x:f>
        <x:v>0.1260647359454855</x:v>
      </x:c>
      <x:c r="P203" s="30" t="n">
        <x:f>IFERROR(J203/I203,0)</x:f>
        <x:v>0.26576576576576577</x:v>
      </x:c>
      <x:c r="Q203" s="30" t="n">
        <x:f>IFERROR(K203/J203,0)</x:f>
        <x:v>0.4915254237288136</x:v>
      </x:c>
      <x:c r="R203" s="30" t="n">
        <x:f>IFERROR(L203/K203,0)</x:f>
        <x:v>0.6551724137931034</x:v>
      </x:c>
      <x:c r="S203" s="28" t="n">
        <x:f>IFERROR(N203/J203,0)</x:f>
        <x:v>443.80661016949153</x:v>
      </x:c>
      <x:c r="T203" s="28" t="n">
        <x:f>IFERROR(N203/K203,0)</x:f>
        <x:v>902.9168965517241</x:v>
      </x:c>
      <x:c r="U203" s="28" t="n">
        <x:f>IFERROR(N203/L203,0)</x:f>
        <x:v>1378.1363157894737</x:v>
      </x:c>
    </x:row>
    <x:row r="204">
      <x:c r="A204" t="n">
        <x:v>203</x:v>
      </x:c>
      <x:c r="B204" s="26" t="n">
        <x:v>46074</x:v>
      </x:c>
      <x:c r="C204" t="str">
        <x:v>CPO_Salario</x:v>
      </x:c>
      <x:c r="D204" t="str">
        <x:v>BAI Directo/App</x:v>
      </x:c>
      <x:c r="E204" t="str">
        <x:v>Premium</x:v>
      </x:c>
      <x:c r="F204" t="str">
        <x:v>Benguela</x:v>
      </x:c>
      <x:c r="G204" t="str">
        <x:v>Android</x:v>
      </x:c>
      <x:c r="H204" t="n">
        <x:v>8139</x:v>
      </x:c>
      <x:c r="I204" t="n">
        <x:v>841</x:v>
      </x:c>
      <x:c r="J204" t="n">
        <x:v>152</x:v>
      </x:c>
      <x:c r="K204" t="n">
        <x:v>116</x:v>
      </x:c>
      <x:c r="L204" t="n">
        <x:v>94</x:v>
      </x:c>
      <x:c r="M204" s="28" t="n">
        <x:v>464617204.65</x:v>
      </x:c>
      <x:c r="N204" s="28" t="n">
        <x:v>87833.21</x:v>
      </x:c>
      <x:c r="O204" s="30" t="n">
        <x:f>IFERROR(I204/H204,0)</x:f>
        <x:v>0.10332964737682762</x:v>
      </x:c>
      <x:c r="P204" s="30" t="n">
        <x:f>IFERROR(J204/I204,0)</x:f>
        <x:v>0.1807372175980975</x:v>
      </x:c>
      <x:c r="Q204" s="30" t="n">
        <x:f>IFERROR(K204/J204,0)</x:f>
        <x:v>0.7631578947368421</x:v>
      </x:c>
      <x:c r="R204" s="30" t="n">
        <x:f>IFERROR(L204/K204,0)</x:f>
        <x:v>0.8103448275862069</x:v>
      </x:c>
      <x:c r="S204" s="28" t="n">
        <x:f>IFERROR(N204/J204,0)</x:f>
        <x:v>577.8500657894738</x:v>
      </x:c>
      <x:c r="T204" s="28" t="n">
        <x:f>IFERROR(N204/K204,0)</x:f>
        <x:v>757.1828448275862</x:v>
      </x:c>
      <x:c r="U204" s="28" t="n">
        <x:f>IFERROR(N204/L204,0)</x:f>
        <x:v>934.3958510638298</x:v>
      </x:c>
    </x:row>
    <x:row r="205">
      <x:c r="A205" t="n">
        <x:v>204</x:v>
      </x:c>
      <x:c r="B205" s="26" t="n">
        <x:v>46074</x:v>
      </x:c>
      <x:c r="C205" t="str">
        <x:v>CPO_Always_On</x:v>
      </x:c>
      <x:c r="D205" t="str">
        <x:v>TikTok Ads</x:v>
      </x:c>
      <x:c r="E205" t="str">
        <x:v>Pequeno Negócio</x:v>
      </x:c>
      <x:c r="F205" t="str">
        <x:v>Luanda</x:v>
      </x:c>
      <x:c r="G205" t="str">
        <x:v>Android</x:v>
      </x:c>
      <x:c r="H205" t="n">
        <x:v>12754</x:v>
      </x:c>
      <x:c r="I205" t="n">
        <x:v>70</x:v>
      </x:c>
      <x:c r="J205" t="n">
        <x:v>5</x:v>
      </x:c>
      <x:c r="K205" t="n">
        <x:v>2</x:v>
      </x:c>
      <x:c r="L205" t="n">
        <x:v>1</x:v>
      </x:c>
      <x:c r="M205" s="28" t="n">
        <x:v>3109447.46</x:v>
      </x:c>
      <x:c r="N205" s="28" t="n">
        <x:v>11470.6</x:v>
      </x:c>
      <x:c r="O205" s="30" t="n">
        <x:f>IFERROR(I205/H205,0)</x:f>
        <x:v>0.005488474204171241</x:v>
      </x:c>
      <x:c r="P205" s="30" t="n">
        <x:f>IFERROR(J205/I205,0)</x:f>
        <x:v>0.07142857142857142</x:v>
      </x:c>
      <x:c r="Q205" s="30" t="n">
        <x:f>IFERROR(K205/J205,0)</x:f>
        <x:v>0.4</x:v>
      </x:c>
      <x:c r="R205" s="30" t="n">
        <x:f>IFERROR(L205/K205,0)</x:f>
        <x:v>0.5</x:v>
      </x:c>
      <x:c r="S205" s="28" t="n">
        <x:f>IFERROR(N205/J205,0)</x:f>
        <x:v>2294.12</x:v>
      </x:c>
      <x:c r="T205" s="28" t="n">
        <x:f>IFERROR(N205/K205,0)</x:f>
        <x:v>5735.3</x:v>
      </x:c>
      <x:c r="U205" s="28" t="n">
        <x:f>IFERROR(N205/L205,0)</x:f>
        <x:v>11470.6</x:v>
      </x:c>
    </x:row>
    <x:row r="206">
      <x:c r="A206" t="n">
        <x:v>205</x:v>
      </x:c>
      <x:c r="B206" s="26" t="n">
        <x:v>46074</x:v>
      </x:c>
      <x:c r="C206" t="str">
        <x:v>CPO_Salario</x:v>
      </x:c>
      <x:c r="D206" t="str">
        <x:v>Google Ads</x:v>
      </x:c>
      <x:c r="E206" t="str">
        <x:v>Assalariado</x:v>
      </x:c>
      <x:c r="F206" t="str">
        <x:v>Luanda</x:v>
      </x:c>
      <x:c r="G206" t="str">
        <x:v>Android</x:v>
      </x:c>
      <x:c r="H206" t="n">
        <x:v>6897</x:v>
      </x:c>
      <x:c r="I206" t="n">
        <x:v>235</x:v>
      </x:c>
      <x:c r="J206" t="n">
        <x:v>34</x:v>
      </x:c>
      <x:c r="K206" t="n">
        <x:v>22</x:v>
      </x:c>
      <x:c r="L206" t="n">
        <x:v>14</x:v>
      </x:c>
      <x:c r="M206" s="28" t="n">
        <x:v>31229355.25</x:v>
      </x:c>
      <x:c r="N206" s="28" t="n">
        <x:v>34318.56</x:v>
      </x:c>
      <x:c r="O206" s="30" t="n">
        <x:f>IFERROR(I206/H206,0)</x:f>
        <x:v>0.03407278526895752</x:v>
      </x:c>
      <x:c r="P206" s="30" t="n">
        <x:f>IFERROR(J206/I206,0)</x:f>
        <x:v>0.14468085106382977</x:v>
      </x:c>
      <x:c r="Q206" s="30" t="n">
        <x:f>IFERROR(K206/J206,0)</x:f>
        <x:v>0.6470588235294118</x:v>
      </x:c>
      <x:c r="R206" s="30" t="n">
        <x:f>IFERROR(L206/K206,0)</x:f>
        <x:v>0.6363636363636364</x:v>
      </x:c>
      <x:c r="S206" s="28" t="n">
        <x:f>IFERROR(N206/J206,0)</x:f>
        <x:v>1009.3694117647058</x:v>
      </x:c>
      <x:c r="T206" s="28" t="n">
        <x:f>IFERROR(N206/K206,0)</x:f>
        <x:v>1559.9345454545453</x:v>
      </x:c>
      <x:c r="U206" s="28" t="n">
        <x:f>IFERROR(N206/L206,0)</x:f>
        <x:v>2451.325714285714</x:v>
      </x:c>
    </x:row>
    <x:row r="207">
      <x:c r="A207" t="n">
        <x:v>206</x:v>
      </x:c>
      <x:c r="B207" s="26" t="n">
        <x:v>46075</x:v>
      </x:c>
      <x:c r="C207" t="str">
        <x:v>CPO_Fim_do_Mes</x:v>
      </x:c>
      <x:c r="D207" t="str">
        <x:v>BAI Directo/App</x:v>
      </x:c>
      <x:c r="E207" t="str">
        <x:v>Premium</x:v>
      </x:c>
      <x:c r="F207" t="str">
        <x:v>Benguela</x:v>
      </x:c>
      <x:c r="G207" t="str">
        <x:v>iOS</x:v>
      </x:c>
      <x:c r="H207" t="n">
        <x:v>10811</x:v>
      </x:c>
      <x:c r="I207" t="n">
        <x:v>337</x:v>
      </x:c>
      <x:c r="J207" t="n">
        <x:v>83</x:v>
      </x:c>
      <x:c r="K207" t="n">
        <x:v>70</x:v>
      </x:c>
      <x:c r="L207" t="n">
        <x:v>49</x:v>
      </x:c>
      <x:c r="M207" s="28" t="n">
        <x:v>251761755.17</x:v>
      </x:c>
      <x:c r="N207" s="28" t="n">
        <x:v>181372.09</x:v>
      </x:c>
      <x:c r="O207" s="30" t="n">
        <x:f>IFERROR(I207/H207,0)</x:f>
        <x:v>0.031171954490796412</x:v>
      </x:c>
      <x:c r="P207" s="30" t="n">
        <x:f>IFERROR(J207/I207,0)</x:f>
        <x:v>0.24629080118694363</x:v>
      </x:c>
      <x:c r="Q207" s="30" t="n">
        <x:f>IFERROR(K207/J207,0)</x:f>
        <x:v>0.8433734939759037</x:v>
      </x:c>
      <x:c r="R207" s="30" t="n">
        <x:f>IFERROR(L207/K207,0)</x:f>
        <x:v>0.7</x:v>
      </x:c>
      <x:c r="S207" s="28" t="n">
        <x:f>IFERROR(N207/J207,0)</x:f>
        <x:v>2185.205903614458</x:v>
      </x:c>
      <x:c r="T207" s="28" t="n">
        <x:f>IFERROR(N207/K207,0)</x:f>
        <x:v>2591.029857142857</x:v>
      </x:c>
      <x:c r="U207" s="28" t="n">
        <x:f>IFERROR(N207/L207,0)</x:f>
        <x:v>3701.471224489796</x:v>
      </x:c>
    </x:row>
    <x:row r="208">
      <x:c r="A208" t="n">
        <x:v>207</x:v>
      </x:c>
      <x:c r="B208" s="26" t="n">
        <x:v>46075</x:v>
      </x:c>
      <x:c r="C208" t="str">
        <x:v>CPO_Fim_do_Mes</x:v>
      </x:c>
      <x:c r="D208" t="str">
        <x:v>BAI Directo/App</x:v>
      </x:c>
      <x:c r="E208" t="str">
        <x:v>Premium</x:v>
      </x:c>
      <x:c r="F208" t="str">
        <x:v>Huambo</x:v>
      </x:c>
      <x:c r="G208" t="str">
        <x:v>Android</x:v>
      </x:c>
      <x:c r="H208" t="n">
        <x:v>7752</x:v>
      </x:c>
      <x:c r="I208" t="n">
        <x:v>821</x:v>
      </x:c>
      <x:c r="J208" t="n">
        <x:v>153</x:v>
      </x:c>
      <x:c r="K208" t="n">
        <x:v>131</x:v>
      </x:c>
      <x:c r="L208" t="n">
        <x:v>98</x:v>
      </x:c>
      <x:c r="M208" s="28" t="n">
        <x:v>484264106.36</x:v>
      </x:c>
      <x:c r="N208" s="28" t="n">
        <x:v>44440.13</x:v>
      </x:c>
      <x:c r="O208" s="30" t="n">
        <x:f>IFERROR(I208/H208,0)</x:f>
        <x:v>0.10590815273477812</x:v>
      </x:c>
      <x:c r="P208" s="30" t="n">
        <x:f>IFERROR(J208/I208,0)</x:f>
        <x:v>0.18635809987819732</x:v>
      </x:c>
      <x:c r="Q208" s="30" t="n">
        <x:f>IFERROR(K208/J208,0)</x:f>
        <x:v>0.8562091503267973</x:v>
      </x:c>
      <x:c r="R208" s="30" t="n">
        <x:f>IFERROR(L208/K208,0)</x:f>
        <x:v>0.7480916030534351</x:v>
      </x:c>
      <x:c r="S208" s="28" t="n">
        <x:f>IFERROR(N208/J208,0)</x:f>
        <x:v>290.4583660130719</x:v>
      </x:c>
      <x:c r="T208" s="28" t="n">
        <x:f>IFERROR(N208/K208,0)</x:f>
        <x:v>339.23763358778626</x:v>
      </x:c>
      <x:c r="U208" s="28" t="n">
        <x:f>IFERROR(N208/L208,0)</x:f>
        <x:v>453.4707142857143</x:v>
      </x:c>
    </x:row>
    <x:row r="209">
      <x:c r="A209" t="n">
        <x:v>208</x:v>
      </x:c>
      <x:c r="B209" s="26" t="n">
        <x:v>46075</x:v>
      </x:c>
      <x:c r="C209" t="str">
        <x:v>CPO_Premium</x:v>
      </x:c>
      <x:c r="D209" t="str">
        <x:v>TikTok Ads</x:v>
      </x:c>
      <x:c r="E209" t="str">
        <x:v>Assalariado</x:v>
      </x:c>
      <x:c r="F209" t="str">
        <x:v>Malanje</x:v>
      </x:c>
      <x:c r="G209" t="str">
        <x:v>iOS</x:v>
      </x:c>
      <x:c r="H209" t="n">
        <x:v>7802</x:v>
      </x:c>
      <x:c r="I209" t="n">
        <x:v>144</x:v>
      </x:c>
      <x:c r="J209" t="n">
        <x:v>14</x:v>
      </x:c>
      <x:c r="K209" t="n">
        <x:v>12</x:v>
      </x:c>
      <x:c r="L209" t="n">
        <x:v>8</x:v>
      </x:c>
      <x:c r="M209" s="28" t="n">
        <x:v>18443138.66</x:v>
      </x:c>
      <x:c r="N209" s="28" t="n">
        <x:v>26282.09</x:v>
      </x:c>
      <x:c r="O209" s="30" t="n">
        <x:f>IFERROR(I209/H209,0)</x:f>
        <x:v>0.01845680594719303</x:v>
      </x:c>
      <x:c r="P209" s="30" t="n">
        <x:f>IFERROR(J209/I209,0)</x:f>
        <x:v>0.09722222222222222</x:v>
      </x:c>
      <x:c r="Q209" s="30" t="n">
        <x:f>IFERROR(K209/J209,0)</x:f>
        <x:v>0.8571428571428571</x:v>
      </x:c>
      <x:c r="R209" s="30" t="n">
        <x:f>IFERROR(L209/K209,0)</x:f>
        <x:v>0.6666666666666666</x:v>
      </x:c>
      <x:c r="S209" s="28" t="n">
        <x:f>IFERROR(N209/J209,0)</x:f>
        <x:v>1877.2921428571428</x:v>
      </x:c>
      <x:c r="T209" s="28" t="n">
        <x:f>IFERROR(N209/K209,0)</x:f>
        <x:v>2190.1741666666667</x:v>
      </x:c>
      <x:c r="U209" s="28" t="n">
        <x:f>IFERROR(N209/L209,0)</x:f>
        <x:v>3285.26125</x:v>
      </x:c>
    </x:row>
    <x:row r="210">
      <x:c r="A210" t="n">
        <x:v>209</x:v>
      </x:c>
      <x:c r="B210" s="26" t="n">
        <x:v>46076</x:v>
      </x:c>
      <x:c r="C210" t="str">
        <x:v>CPO_Always_On</x:v>
      </x:c>
      <x:c r="D210" t="str">
        <x:v>TikTok Ads</x:v>
      </x:c>
      <x:c r="E210" t="str">
        <x:v>Assalariado</x:v>
      </x:c>
      <x:c r="F210" t="str">
        <x:v>Luanda</x:v>
      </x:c>
      <x:c r="G210" t="str">
        <x:v>Android</x:v>
      </x:c>
      <x:c r="H210" t="n">
        <x:v>25906</x:v>
      </x:c>
      <x:c r="I210" t="n">
        <x:v>488</x:v>
      </x:c>
      <x:c r="J210" t="n">
        <x:v>47</x:v>
      </x:c>
      <x:c r="K210" t="n">
        <x:v>33</x:v>
      </x:c>
      <x:c r="L210" t="n">
        <x:v>19</x:v>
      </x:c>
      <x:c r="M210" s="28" t="n">
        <x:v>44687445.84</x:v>
      </x:c>
      <x:c r="N210" s="28" t="n">
        <x:v>73561.63</x:v>
      </x:c>
      <x:c r="O210" s="30" t="n">
        <x:f>IFERROR(I210/H210,0)</x:f>
        <x:v>0.018837334980313442</x:v>
      </x:c>
      <x:c r="P210" s="30" t="n">
        <x:f>IFERROR(J210/I210,0)</x:f>
        <x:v>0.09631147540983606</x:v>
      </x:c>
      <x:c r="Q210" s="30" t="n">
        <x:f>IFERROR(K210/J210,0)</x:f>
        <x:v>0.7021276595744681</x:v>
      </x:c>
      <x:c r="R210" s="30" t="n">
        <x:f>IFERROR(L210/K210,0)</x:f>
        <x:v>0.5757575757575758</x:v>
      </x:c>
      <x:c r="S210" s="28" t="n">
        <x:f>IFERROR(N210/J210,0)</x:f>
        <x:v>1565.1410638297873</x:v>
      </x:c>
      <x:c r="T210" s="28" t="n">
        <x:f>IFERROR(N210/K210,0)</x:f>
        <x:v>2229.140303030303</x:v>
      </x:c>
      <x:c r="U210" s="28" t="n">
        <x:f>IFERROR(N210/L210,0)</x:f>
        <x:v>3871.6647368421054</x:v>
      </x:c>
    </x:row>
    <x:row r="211">
      <x:c r="A211" t="n">
        <x:v>210</x:v>
      </x:c>
      <x:c r="B211" s="26" t="n">
        <x:v>46076</x:v>
      </x:c>
      <x:c r="C211" t="str">
        <x:v>CPO_Digital_360</x:v>
      </x:c>
      <x:c r="D211" t="str">
        <x:v>Google Ads</x:v>
      </x:c>
      <x:c r="E211" t="str">
        <x:v>Jovem Profissional</x:v>
      </x:c>
      <x:c r="F211" t="str">
        <x:v>Luanda</x:v>
      </x:c>
      <x:c r="G211" t="str">
        <x:v>Android</x:v>
      </x:c>
      <x:c r="H211" t="n">
        <x:v>25468</x:v>
      </x:c>
      <x:c r="I211" t="n">
        <x:v>893</x:v>
      </x:c>
      <x:c r="J211" t="n">
        <x:v>144</x:v>
      </x:c>
      <x:c r="K211" t="n">
        <x:v>96</x:v>
      </x:c>
      <x:c r="L211" t="n">
        <x:v>59</x:v>
      </x:c>
      <x:c r="M211" s="28" t="n">
        <x:v>79597382.25</x:v>
      </x:c>
      <x:c r="N211" s="28" t="n">
        <x:v>55769.08</x:v>
      </x:c>
      <x:c r="O211" s="30" t="n">
        <x:f>IFERROR(I211/H211,0)</x:f>
        <x:v>0.03506360923511858</x:v>
      </x:c>
      <x:c r="P211" s="30" t="n">
        <x:f>IFERROR(J211/I211,0)</x:f>
        <x:v>0.1612541993281075</x:v>
      </x:c>
      <x:c r="Q211" s="30" t="n">
        <x:f>IFERROR(K211/J211,0)</x:f>
        <x:v>0.6666666666666666</x:v>
      </x:c>
      <x:c r="R211" s="30" t="n">
        <x:f>IFERROR(L211/K211,0)</x:f>
        <x:v>0.6145833333333334</x:v>
      </x:c>
      <x:c r="S211" s="28" t="n">
        <x:f>IFERROR(N211/J211,0)</x:f>
        <x:v>387.28527777777776</x:v>
      </x:c>
      <x:c r="T211" s="28" t="n">
        <x:f>IFERROR(N211/K211,0)</x:f>
        <x:v>580.9279166666666</x:v>
      </x:c>
      <x:c r="U211" s="28" t="n">
        <x:f>IFERROR(N211/L211,0)</x:f>
        <x:v>945.2386440677966</x:v>
      </x:c>
    </x:row>
    <x:row r="212">
      <x:c r="A212" t="n">
        <x:v>211</x:v>
      </x:c>
      <x:c r="B212" s="26" t="n">
        <x:v>46076</x:v>
      </x:c>
      <x:c r="C212" t="str">
        <x:v>CPO_Acesso_Rapido</x:v>
      </x:c>
      <x:c r="D212" t="str">
        <x:v>E-mail</x:v>
      </x:c>
      <x:c r="E212" t="str">
        <x:v>Jovem Profissional</x:v>
      </x:c>
      <x:c r="F212" t="str">
        <x:v>Luanda</x:v>
      </x:c>
      <x:c r="G212" t="str">
        <x:v>Android</x:v>
      </x:c>
      <x:c r="H212" t="n">
        <x:v>2126</x:v>
      </x:c>
      <x:c r="I212" t="n">
        <x:v>150</x:v>
      </x:c>
      <x:c r="J212" t="n">
        <x:v>14</x:v>
      </x:c>
      <x:c r="K212" t="n">
        <x:v>7</x:v>
      </x:c>
      <x:c r="L212" t="n">
        <x:v>5</x:v>
      </x:c>
      <x:c r="M212" s="28" t="n">
        <x:v>5754331.84</x:v>
      </x:c>
      <x:c r="N212" s="28" t="n">
        <x:v>34810.7</x:v>
      </x:c>
      <x:c r="O212" s="30" t="n">
        <x:f>IFERROR(I212/H212,0)</x:f>
        <x:v>0.07055503292568203</x:v>
      </x:c>
      <x:c r="P212" s="30" t="n">
        <x:f>IFERROR(J212/I212,0)</x:f>
        <x:v>0.09333333333333334</x:v>
      </x:c>
      <x:c r="Q212" s="30" t="n">
        <x:f>IFERROR(K212/J212,0)</x:f>
        <x:v>0.5</x:v>
      </x:c>
      <x:c r="R212" s="30" t="n">
        <x:f>IFERROR(L212/K212,0)</x:f>
        <x:v>0.7142857142857143</x:v>
      </x:c>
      <x:c r="S212" s="28" t="n">
        <x:f>IFERROR(N212/J212,0)</x:f>
        <x:v>2486.4785714285713</x:v>
      </x:c>
      <x:c r="T212" s="28" t="n">
        <x:f>IFERROR(N212/K212,0)</x:f>
        <x:v>4972.957142857143</x:v>
      </x:c>
      <x:c r="U212" s="28" t="n">
        <x:f>IFERROR(N212/L212,0)</x:f>
        <x:v>6962.139999999999</x:v>
      </x:c>
    </x:row>
    <x:row r="213">
      <x:c r="A213" t="n">
        <x:v>212</x:v>
      </x:c>
      <x:c r="B213" s="26" t="n">
        <x:v>46076</x:v>
      </x:c>
      <x:c r="C213" t="str">
        <x:v>CPO_Always_On</x:v>
      </x:c>
      <x:c r="D213" t="str">
        <x:v>E-mail</x:v>
      </x:c>
      <x:c r="E213" t="str">
        <x:v>Premium</x:v>
      </x:c>
      <x:c r="F213" t="str">
        <x:v>Uíge</x:v>
      </x:c>
      <x:c r="G213" t="str">
        <x:v>Android</x:v>
      </x:c>
      <x:c r="H213" t="n">
        <x:v>2823</x:v>
      </x:c>
      <x:c r="I213" t="n">
        <x:v>182</x:v>
      </x:c>
      <x:c r="J213" t="n">
        <x:v>19</x:v>
      </x:c>
      <x:c r="K213" t="n">
        <x:v>14</x:v>
      </x:c>
      <x:c r="L213" t="n">
        <x:v>8</x:v>
      </x:c>
      <x:c r="M213" s="28" t="n">
        <x:v>37540873.41</x:v>
      </x:c>
      <x:c r="N213" s="28" t="n">
        <x:v>37848.1</x:v>
      </x:c>
      <x:c r="O213" s="30" t="n">
        <x:f>IFERROR(I213/H213,0)</x:f>
        <x:v>0.06447042153737159</x:v>
      </x:c>
      <x:c r="P213" s="30" t="n">
        <x:f>IFERROR(J213/I213,0)</x:f>
        <x:v>0.1043956043956044</x:v>
      </x:c>
      <x:c r="Q213" s="30" t="n">
        <x:f>IFERROR(K213/J213,0)</x:f>
        <x:v>0.7368421052631579</x:v>
      </x:c>
      <x:c r="R213" s="30" t="n">
        <x:f>IFERROR(L213/K213,0)</x:f>
        <x:v>0.5714285714285714</x:v>
      </x:c>
      <x:c r="S213" s="28" t="n">
        <x:f>IFERROR(N213/J213,0)</x:f>
        <x:v>1992.0052631578947</x:v>
      </x:c>
      <x:c r="T213" s="28" t="n">
        <x:f>IFERROR(N213/K213,0)</x:f>
        <x:v>2703.4357142857143</x:v>
      </x:c>
      <x:c r="U213" s="28" t="n">
        <x:f>IFERROR(N213/L213,0)</x:f>
        <x:v>4731.0125</x:v>
      </x:c>
    </x:row>
    <x:row r="214">
      <x:c r="A214" t="n">
        <x:v>213</x:v>
      </x:c>
      <x:c r="B214" s="26" t="n">
        <x:v>46076</x:v>
      </x:c>
      <x:c r="C214" t="str">
        <x:v>CPO_Fim_do_Mes</x:v>
      </x:c>
      <x:c r="D214" t="str">
        <x:v>BAI Directo/App</x:v>
      </x:c>
      <x:c r="E214" t="str">
        <x:v>Funcionário Público</x:v>
      </x:c>
      <x:c r="F214" t="str">
        <x:v>Benguela</x:v>
      </x:c>
      <x:c r="G214" t="str">
        <x:v>Android</x:v>
      </x:c>
      <x:c r="H214" t="n">
        <x:v>2128</x:v>
      </x:c>
      <x:c r="I214" t="n">
        <x:v>197</x:v>
      </x:c>
      <x:c r="J214" t="n">
        <x:v>48</x:v>
      </x:c>
      <x:c r="K214" t="n">
        <x:v>38</x:v>
      </x:c>
      <x:c r="L214" t="n">
        <x:v>22</x:v>
      </x:c>
      <x:c r="M214" s="28" t="n">
        <x:v>43031601.48</x:v>
      </x:c>
      <x:c r="N214" s="28" t="n">
        <x:v>15016.28</x:v>
      </x:c>
      <x:c r="O214" s="30" t="n">
        <x:f>IFERROR(I214/H214,0)</x:f>
        <x:v>0.09257518796992481</x:v>
      </x:c>
      <x:c r="P214" s="30" t="n">
        <x:f>IFERROR(J214/I214,0)</x:f>
        <x:v>0.2436548223350254</x:v>
      </x:c>
      <x:c r="Q214" s="30" t="n">
        <x:f>IFERROR(K214/J214,0)</x:f>
        <x:v>0.7916666666666666</x:v>
      </x:c>
      <x:c r="R214" s="30" t="n">
        <x:f>IFERROR(L214/K214,0)</x:f>
        <x:v>0.5789473684210527</x:v>
      </x:c>
      <x:c r="S214" s="28" t="n">
        <x:f>IFERROR(N214/J214,0)</x:f>
        <x:v>312.8391666666667</x:v>
      </x:c>
      <x:c r="T214" s="28" t="n">
        <x:f>IFERROR(N214/K214,0)</x:f>
        <x:v>395.16526315789474</x:v>
      </x:c>
      <x:c r="U214" s="28" t="n">
        <x:f>IFERROR(N214/L214,0)</x:f>
        <x:v>682.5581818181819</x:v>
      </x:c>
    </x:row>
    <x:row r="215">
      <x:c r="A215" t="n">
        <x:v>214</x:v>
      </x:c>
      <x:c r="B215" s="26" t="n">
        <x:v>46077</x:v>
      </x:c>
      <x:c r="C215" t="str">
        <x:v>CPO_Acesso_Rapido</x:v>
      </x:c>
      <x:c r="D215" t="str">
        <x:v>BAI Directo/App</x:v>
      </x:c>
      <x:c r="E215" t="str">
        <x:v>Jovem Profissional</x:v>
      </x:c>
      <x:c r="F215" t="str">
        <x:v>Malanje</x:v>
      </x:c>
      <x:c r="G215" t="str">
        <x:v>Android</x:v>
      </x:c>
      <x:c r="H215" t="n">
        <x:v>922</x:v>
      </x:c>
      <x:c r="I215" t="n">
        <x:v>67</x:v>
      </x:c>
      <x:c r="J215" t="n">
        <x:v>12</x:v>
      </x:c>
      <x:c r="K215" t="n">
        <x:v>6</x:v>
      </x:c>
      <x:c r="L215" t="n">
        <x:v>4</x:v>
      </x:c>
      <x:c r="M215" s="28" t="n">
        <x:v>5646181.22</x:v>
      </x:c>
      <x:c r="N215" s="28" t="n">
        <x:v>15189.98</x:v>
      </x:c>
      <x:c r="O215" s="30" t="n">
        <x:f>IFERROR(I215/H215,0)</x:f>
        <x:v>0.07266811279826464</x:v>
      </x:c>
      <x:c r="P215" s="30" t="n">
        <x:f>IFERROR(J215/I215,0)</x:f>
        <x:v>0.1791044776119403</x:v>
      </x:c>
      <x:c r="Q215" s="30" t="n">
        <x:f>IFERROR(K215/J215,0)</x:f>
        <x:v>0.5</x:v>
      </x:c>
      <x:c r="R215" s="30" t="n">
        <x:f>IFERROR(L215/K215,0)</x:f>
        <x:v>0.6666666666666666</x:v>
      </x:c>
      <x:c r="S215" s="28" t="n">
        <x:f>IFERROR(N215/J215,0)</x:f>
        <x:v>1265.8316666666667</x:v>
      </x:c>
      <x:c r="T215" s="28" t="n">
        <x:f>IFERROR(N215/K215,0)</x:f>
        <x:v>2531.6633333333334</x:v>
      </x:c>
      <x:c r="U215" s="28" t="n">
        <x:f>IFERROR(N215/L215,0)</x:f>
        <x:v>3797.495</x:v>
      </x:c>
    </x:row>
    <x:row r="216">
      <x:c r="A216" t="n">
        <x:v>215</x:v>
      </x:c>
      <x:c r="B216" s="26" t="n">
        <x:v>46077</x:v>
      </x:c>
      <x:c r="C216" t="str">
        <x:v>CPO_Acesso_Rapido</x:v>
      </x:c>
      <x:c r="D216" t="str">
        <x:v>TikTok Ads</x:v>
      </x:c>
      <x:c r="E216" t="str">
        <x:v>Premium</x:v>
      </x:c>
      <x:c r="F216" t="str">
        <x:v>Malanje</x:v>
      </x:c>
      <x:c r="G216" t="str">
        <x:v>iOS</x:v>
      </x:c>
      <x:c r="H216" t="n">
        <x:v>14148</x:v>
      </x:c>
      <x:c r="I216" t="n">
        <x:v>237</x:v>
      </x:c>
      <x:c r="J216" t="n">
        <x:v>21</x:v>
      </x:c>
      <x:c r="K216" t="n">
        <x:v>19</x:v>
      </x:c>
      <x:c r="L216" t="n">
        <x:v>16</x:v>
      </x:c>
      <x:c r="M216" s="28" t="n">
        <x:v>77912626.08</x:v>
      </x:c>
      <x:c r="N216" s="28" t="n">
        <x:v>36538.33</x:v>
      </x:c>
      <x:c r="O216" s="30" t="n">
        <x:f>IFERROR(I216/H216,0)</x:f>
        <x:v>0.016751484308736218</x:v>
      </x:c>
      <x:c r="P216" s="30" t="n">
        <x:f>IFERROR(J216/I216,0)</x:f>
        <x:v>0.08860759493670886</x:v>
      </x:c>
      <x:c r="Q216" s="30" t="n">
        <x:f>IFERROR(K216/J216,0)</x:f>
        <x:v>0.9047619047619048</x:v>
      </x:c>
      <x:c r="R216" s="30" t="n">
        <x:f>IFERROR(L216/K216,0)</x:f>
        <x:v>0.8421052631578947</x:v>
      </x:c>
      <x:c r="S216" s="28" t="n">
        <x:f>IFERROR(N216/J216,0)</x:f>
        <x:v>1739.9204761904762</x:v>
      </x:c>
      <x:c r="T216" s="28" t="n">
        <x:f>IFERROR(N216/K216,0)</x:f>
        <x:v>1923.0700000000002</x:v>
      </x:c>
      <x:c r="U216" s="28" t="n">
        <x:f>IFERROR(N216/L216,0)</x:f>
        <x:v>2283.645625</x:v>
      </x:c>
    </x:row>
    <x:row r="217">
      <x:c r="A217" t="n">
        <x:v>216</x:v>
      </x:c>
      <x:c r="B217" s="26" t="n">
        <x:v>46077</x:v>
      </x:c>
      <x:c r="C217" t="str">
        <x:v>CPO_Digital_360</x:v>
      </x:c>
      <x:c r="D217" t="str">
        <x:v>Google Ads</x:v>
      </x:c>
      <x:c r="E217" t="str">
        <x:v>Funcionário Público</x:v>
      </x:c>
      <x:c r="F217" t="str">
        <x:v>Luanda</x:v>
      </x:c>
      <x:c r="G217" t="str">
        <x:v>iOS</x:v>
      </x:c>
      <x:c r="H217" t="n">
        <x:v>7360</x:v>
      </x:c>
      <x:c r="I217" t="n">
        <x:v>183</x:v>
      </x:c>
      <x:c r="J217" t="n">
        <x:v>31</x:v>
      </x:c>
      <x:c r="K217" t="n">
        <x:v>21</x:v>
      </x:c>
      <x:c r="L217" t="n">
        <x:v>15</x:v>
      </x:c>
      <x:c r="M217" s="28" t="n">
        <x:v>28208089.71</x:v>
      </x:c>
      <x:c r="N217" s="28" t="n">
        <x:v>33984.18</x:v>
      </x:c>
      <x:c r="O217" s="30" t="n">
        <x:f>IFERROR(I217/H217,0)</x:f>
        <x:v>0.024864130434782607</x:v>
      </x:c>
      <x:c r="P217" s="30" t="n">
        <x:f>IFERROR(J217/I217,0)</x:f>
        <x:v>0.16939890710382513</x:v>
      </x:c>
      <x:c r="Q217" s="30" t="n">
        <x:f>IFERROR(K217/J217,0)</x:f>
        <x:v>0.6774193548387096</x:v>
      </x:c>
      <x:c r="R217" s="30" t="n">
        <x:f>IFERROR(L217/K217,0)</x:f>
        <x:v>0.7142857142857143</x:v>
      </x:c>
      <x:c r="S217" s="28" t="n">
        <x:f>IFERROR(N217/J217,0)</x:f>
        <x:v>1096.263870967742</x:v>
      </x:c>
      <x:c r="T217" s="28" t="n">
        <x:f>IFERROR(N217/K217,0)</x:f>
        <x:v>1618.2942857142857</x:v>
      </x:c>
      <x:c r="U217" s="28" t="n">
        <x:f>IFERROR(N217/L217,0)</x:f>
        <x:v>2265.612</x:v>
      </x:c>
    </x:row>
    <x:row r="218">
      <x:c r="A218" t="n">
        <x:v>217</x:v>
      </x:c>
      <x:c r="B218" s="26" t="n">
        <x:v>46078</x:v>
      </x:c>
      <x:c r="C218" t="str">
        <x:v>CPO_Acesso_Rapido</x:v>
      </x:c>
      <x:c r="D218" t="str">
        <x:v>BAI Directo/App</x:v>
      </x:c>
      <x:c r="E218" t="str">
        <x:v>Pequeno Negócio</x:v>
      </x:c>
      <x:c r="F218" t="str">
        <x:v>Luanda</x:v>
      </x:c>
      <x:c r="G218" t="str">
        <x:v>iOS</x:v>
      </x:c>
      <x:c r="H218" t="n">
        <x:v>10784</x:v>
      </x:c>
      <x:c r="I218" t="n">
        <x:v>1394</x:v>
      </x:c>
      <x:c r="J218" t="n">
        <x:v>323</x:v>
      </x:c>
      <x:c r="K218" t="n">
        <x:v>145</x:v>
      </x:c>
      <x:c r="L218" t="n">
        <x:v>72</x:v>
      </x:c>
      <x:c r="M218" s="28" t="n">
        <x:v>227767926.58</x:v>
      </x:c>
      <x:c r="N218" s="28" t="n">
        <x:v>56064.25</x:v>
      </x:c>
      <x:c r="O218" s="30" t="n">
        <x:f>IFERROR(I218/H218,0)</x:f>
        <x:v>0.12926557863501484</x:v>
      </x:c>
      <x:c r="P218" s="30" t="n">
        <x:f>IFERROR(J218/I218,0)</x:f>
        <x:v>0.23170731707317074</x:v>
      </x:c>
      <x:c r="Q218" s="30" t="n">
        <x:f>IFERROR(K218/J218,0)</x:f>
        <x:v>0.44891640866873067</x:v>
      </x:c>
      <x:c r="R218" s="30" t="n">
        <x:f>IFERROR(L218/K218,0)</x:f>
        <x:v>0.496551724137931</x:v>
      </x:c>
      <x:c r="S218" s="28" t="n">
        <x:f>IFERROR(N218/J218,0)</x:f>
        <x:v>173.5735294117647</x:v>
      </x:c>
      <x:c r="T218" s="28" t="n">
        <x:f>IFERROR(N218/K218,0)</x:f>
        <x:v>386.65</x:v>
      </x:c>
      <x:c r="U218" s="28" t="n">
        <x:f>IFERROR(N218/L218,0)</x:f>
        <x:v>778.6701388888889</x:v>
      </x:c>
    </x:row>
    <x:row r="219">
      <x:c r="A219" t="n">
        <x:v>218</x:v>
      </x:c>
      <x:c r="B219" s="26" t="n">
        <x:v>46078</x:v>
      </x:c>
      <x:c r="C219" t="str">
        <x:v>CPO_Premium</x:v>
      </x:c>
      <x:c r="D219" t="str">
        <x:v>Google Ads</x:v>
      </x:c>
      <x:c r="E219" t="str">
        <x:v>Funcionário Público</x:v>
      </x:c>
      <x:c r="F219" t="str">
        <x:v>Luanda</x:v>
      </x:c>
      <x:c r="G219" t="str">
        <x:v>iOS</x:v>
      </x:c>
      <x:c r="H219" t="n">
        <x:v>4705</x:v>
      </x:c>
      <x:c r="I219" t="n">
        <x:v>172</x:v>
      </x:c>
      <x:c r="J219" t="n">
        <x:v>31</x:v>
      </x:c>
      <x:c r="K219" t="n">
        <x:v>22</x:v>
      </x:c>
      <x:c r="L219" t="n">
        <x:v>14</x:v>
      </x:c>
      <x:c r="M219" s="28" t="n">
        <x:v>25140157.29</x:v>
      </x:c>
      <x:c r="N219" s="28" t="n">
        <x:v>21176.36</x:v>
      </x:c>
      <x:c r="O219" s="30" t="n">
        <x:f>IFERROR(I219/H219,0)</x:f>
        <x:v>0.036556854410201914</x:v>
      </x:c>
      <x:c r="P219" s="30" t="n">
        <x:f>IFERROR(J219/I219,0)</x:f>
        <x:v>0.18023255813953487</x:v>
      </x:c>
      <x:c r="Q219" s="30" t="n">
        <x:f>IFERROR(K219/J219,0)</x:f>
        <x:v>0.7096774193548387</x:v>
      </x:c>
      <x:c r="R219" s="30" t="n">
        <x:f>IFERROR(L219/K219,0)</x:f>
        <x:v>0.6363636363636364</x:v>
      </x:c>
      <x:c r="S219" s="28" t="n">
        <x:f>IFERROR(N219/J219,0)</x:f>
        <x:v>683.1083870967742</x:v>
      </x:c>
      <x:c r="T219" s="28" t="n">
        <x:f>IFERROR(N219/K219,0)</x:f>
        <x:v>962.5618181818182</x:v>
      </x:c>
      <x:c r="U219" s="28" t="n">
        <x:f>IFERROR(N219/L219,0)</x:f>
        <x:v>1512.597142857143</x:v>
      </x:c>
    </x:row>
    <x:row r="220">
      <x:c r="A220" t="n">
        <x:v>219</x:v>
      </x:c>
      <x:c r="B220" s="26" t="n">
        <x:v>46078</x:v>
      </x:c>
      <x:c r="C220" t="str">
        <x:v>CPO_Acesso_Rapido</x:v>
      </x:c>
      <x:c r="D220" t="str">
        <x:v>SMS</x:v>
      </x:c>
      <x:c r="E220" t="str">
        <x:v>Pequeno Negócio</x:v>
      </x:c>
      <x:c r="F220" t="str">
        <x:v>Benguela</x:v>
      </x:c>
      <x:c r="G220" t="str">
        <x:v>Android</x:v>
      </x:c>
      <x:c r="H220" t="n">
        <x:v>10418</x:v>
      </x:c>
      <x:c r="I220" t="n">
        <x:v>833</x:v>
      </x:c>
      <x:c r="J220" t="n">
        <x:v>85</x:v>
      </x:c>
      <x:c r="K220" t="n">
        <x:v>39</x:v>
      </x:c>
      <x:c r="L220" t="n">
        <x:v>13</x:v>
      </x:c>
      <x:c r="M220" s="28" t="n">
        <x:v>42241739.85</x:v>
      </x:c>
      <x:c r="N220" s="28" t="n">
        <x:v>103198.89</x:v>
      </x:c>
      <x:c r="O220" s="30" t="n">
        <x:f>IFERROR(I220/H220,0)</x:f>
        <x:v>0.07995776540602803</x:v>
      </x:c>
      <x:c r="P220" s="30" t="n">
        <x:f>IFERROR(J220/I220,0)</x:f>
        <x:v>0.10204081632653061</x:v>
      </x:c>
      <x:c r="Q220" s="30" t="n">
        <x:f>IFERROR(K220/J220,0)</x:f>
        <x:v>0.4588235294117647</x:v>
      </x:c>
      <x:c r="R220" s="30" t="n">
        <x:f>IFERROR(L220/K220,0)</x:f>
        <x:v>0.3333333333333333</x:v>
      </x:c>
      <x:c r="S220" s="28" t="n">
        <x:f>IFERROR(N220/J220,0)</x:f>
        <x:v>1214.1045882352942</x:v>
      </x:c>
      <x:c r="T220" s="28" t="n">
        <x:f>IFERROR(N220/K220,0)</x:f>
        <x:v>2646.1253846153845</x:v>
      </x:c>
      <x:c r="U220" s="28" t="n">
        <x:f>IFERROR(N220/L220,0)</x:f>
        <x:v>7938.376153846154</x:v>
      </x:c>
    </x:row>
    <x:row r="221">
      <x:c r="A221" t="n">
        <x:v>220</x:v>
      </x:c>
      <x:c r="B221" s="26" t="n">
        <x:v>46079</x:v>
      </x:c>
      <x:c r="C221" t="str">
        <x:v>CPO_Always_On</x:v>
      </x:c>
      <x:c r="D221" t="str">
        <x:v>SMS</x:v>
      </x:c>
      <x:c r="E221" t="str">
        <x:v>Jovem Profissional</x:v>
      </x:c>
      <x:c r="F221" t="str">
        <x:v>Luanda</x:v>
      </x:c>
      <x:c r="G221" t="str">
        <x:v>Android</x:v>
      </x:c>
      <x:c r="H221" t="n">
        <x:v>3157</x:v>
      </x:c>
      <x:c r="I221" t="n">
        <x:v>237</x:v>
      </x:c>
      <x:c r="J221" t="n">
        <x:v>37</x:v>
      </x:c>
      <x:c r="K221" t="n">
        <x:v>23</x:v>
      </x:c>
      <x:c r="L221" t="n">
        <x:v>15</x:v>
      </x:c>
      <x:c r="M221" s="28" t="n">
        <x:v>18962175.13</x:v>
      </x:c>
      <x:c r="N221" s="28" t="n">
        <x:v>45717.36</x:v>
      </x:c>
      <x:c r="O221" s="30" t="n">
        <x:f>IFERROR(I221/H221,0)</x:f>
        <x:v>0.0750712701932214</x:v>
      </x:c>
      <x:c r="P221" s="30" t="n">
        <x:f>IFERROR(J221/I221,0)</x:f>
        <x:v>0.15611814345991562</x:v>
      </x:c>
      <x:c r="Q221" s="30" t="n">
        <x:f>IFERROR(K221/J221,0)</x:f>
        <x:v>0.6216216216216216</x:v>
      </x:c>
      <x:c r="R221" s="30" t="n">
        <x:f>IFERROR(L221/K221,0)</x:f>
        <x:v>0.6521739130434783</x:v>
      </x:c>
      <x:c r="S221" s="28" t="n">
        <x:f>IFERROR(N221/J221,0)</x:f>
        <x:v>1235.6043243243244</x:v>
      </x:c>
      <x:c r="T221" s="28" t="n">
        <x:f>IFERROR(N221/K221,0)</x:f>
        <x:v>1987.7113043478262</x:v>
      </x:c>
      <x:c r="U221" s="28" t="n">
        <x:f>IFERROR(N221/L221,0)</x:f>
        <x:v>3047.824</x:v>
      </x:c>
    </x:row>
    <x:row r="222">
      <x:c r="A222" t="n">
        <x:v>221</x:v>
      </x:c>
      <x:c r="B222" s="26" t="n">
        <x:v>46079</x:v>
      </x:c>
      <x:c r="C222" t="str">
        <x:v>CPO_Digital_360</x:v>
      </x:c>
      <x:c r="D222" t="str">
        <x:v>SMS</x:v>
      </x:c>
      <x:c r="E222" t="str">
        <x:v>Jovem Profissional</x:v>
      </x:c>
      <x:c r="F222" t="str">
        <x:v>Huambo</x:v>
      </x:c>
      <x:c r="G222" t="str">
        <x:v>iOS</x:v>
      </x:c>
      <x:c r="H222" t="n">
        <x:v>8603</x:v>
      </x:c>
      <x:c r="I222" t="n">
        <x:v>607</x:v>
      </x:c>
      <x:c r="J222" t="n">
        <x:v>86</x:v>
      </x:c>
      <x:c r="K222" t="n">
        <x:v>48</x:v>
      </x:c>
      <x:c r="L222" t="n">
        <x:v>21</x:v>
      </x:c>
      <x:c r="M222" s="28" t="n">
        <x:v>25912094.41</x:v>
      </x:c>
      <x:c r="N222" s="28" t="n">
        <x:v>105693.5</x:v>
      </x:c>
      <x:c r="O222" s="30" t="n">
        <x:f>IFERROR(I222/H222,0)</x:f>
        <x:v>0.07055678251772637</x:v>
      </x:c>
      <x:c r="P222" s="30" t="n">
        <x:f>IFERROR(J222/I222,0)</x:f>
        <x:v>0.1416803953871499</x:v>
      </x:c>
      <x:c r="Q222" s="30" t="n">
        <x:f>IFERROR(K222/J222,0)</x:f>
        <x:v>0.5581395348837209</x:v>
      </x:c>
      <x:c r="R222" s="30" t="n">
        <x:f>IFERROR(L222/K222,0)</x:f>
        <x:v>0.4375</x:v>
      </x:c>
      <x:c r="S222" s="28" t="n">
        <x:f>IFERROR(N222/J222,0)</x:f>
        <x:v>1228.9941860465117</x:v>
      </x:c>
      <x:c r="T222" s="28" t="n">
        <x:f>IFERROR(N222/K222,0)</x:f>
        <x:v>2201.9479166666665</x:v>
      </x:c>
      <x:c r="U222" s="28" t="n">
        <x:f>IFERROR(N222/L222,0)</x:f>
        <x:v>5033.023809523809</x:v>
      </x:c>
    </x:row>
    <x:row r="223">
      <x:c r="A223" t="n">
        <x:v>222</x:v>
      </x:c>
      <x:c r="B223" s="26" t="n">
        <x:v>46079</x:v>
      </x:c>
      <x:c r="C223" t="str">
        <x:v>CPO_Fim_do_Mes</x:v>
      </x:c>
      <x:c r="D223" t="str">
        <x:v>Google Ads</x:v>
      </x:c>
      <x:c r="E223" t="str">
        <x:v>Funcionário Público</x:v>
      </x:c>
      <x:c r="F223" t="str">
        <x:v>Luanda</x:v>
      </x:c>
      <x:c r="G223" t="str">
        <x:v>iOS</x:v>
      </x:c>
      <x:c r="H223" t="n">
        <x:v>22327</x:v>
      </x:c>
      <x:c r="I223" t="n">
        <x:v>766</x:v>
      </x:c>
      <x:c r="J223" t="n">
        <x:v>145</x:v>
      </x:c>
      <x:c r="K223" t="n">
        <x:v>86</x:v>
      </x:c>
      <x:c r="L223" t="n">
        <x:v>54</x:v>
      </x:c>
      <x:c r="M223" s="28" t="n">
        <x:v>98531593.1</x:v>
      </x:c>
      <x:c r="N223" s="28" t="n">
        <x:v>124156.36</x:v>
      </x:c>
      <x:c r="O223" s="30" t="n">
        <x:f>IFERROR(I223/H223,0)</x:f>
        <x:v>0.03430823666412863</x:v>
      </x:c>
      <x:c r="P223" s="30" t="n">
        <x:f>IFERROR(J223/I223,0)</x:f>
        <x:v>0.18929503916449086</x:v>
      </x:c>
      <x:c r="Q223" s="30" t="n">
        <x:f>IFERROR(K223/J223,0)</x:f>
        <x:v>0.593103448275862</x:v>
      </x:c>
      <x:c r="R223" s="30" t="n">
        <x:f>IFERROR(L223/K223,0)</x:f>
        <x:v>0.627906976744186</x:v>
      </x:c>
      <x:c r="S223" s="28" t="n">
        <x:f>IFERROR(N223/J223,0)</x:f>
        <x:v>856.2507586206897</x:v>
      </x:c>
      <x:c r="T223" s="28" t="n">
        <x:f>IFERROR(N223/K223,0)</x:f>
        <x:v>1443.6786046511627</x:v>
      </x:c>
      <x:c r="U223" s="28" t="n">
        <x:f>IFERROR(N223/L223,0)</x:f>
        <x:v>2299.191851851852</x:v>
      </x:c>
    </x:row>
    <x:row r="224">
      <x:c r="A224" t="n">
        <x:v>223</x:v>
      </x:c>
      <x:c r="B224" s="26" t="n">
        <x:v>46079</x:v>
      </x:c>
      <x:c r="C224" t="str">
        <x:v>CPO_Fim_do_Mes</x:v>
      </x:c>
      <x:c r="D224" t="str">
        <x:v>BAI Directo/App</x:v>
      </x:c>
      <x:c r="E224" t="str">
        <x:v>Jovem Profissional</x:v>
      </x:c>
      <x:c r="F224" t="str">
        <x:v>Cabinda</x:v>
      </x:c>
      <x:c r="G224" t="str">
        <x:v>Android</x:v>
      </x:c>
      <x:c r="H224" t="n">
        <x:v>9359</x:v>
      </x:c>
      <x:c r="I224" t="n">
        <x:v>568</x:v>
      </x:c>
      <x:c r="J224" t="n">
        <x:v>149</x:v>
      </x:c>
      <x:c r="K224" t="n">
        <x:v>80</x:v>
      </x:c>
      <x:c r="L224" t="n">
        <x:v>33</x:v>
      </x:c>
      <x:c r="M224" s="28" t="n">
        <x:v>40174025.77</x:v>
      </x:c>
      <x:c r="N224" s="28" t="n">
        <x:v>165441.44</x:v>
      </x:c>
      <x:c r="O224" s="30" t="n">
        <x:f>IFERROR(I224/H224,0)</x:f>
        <x:v>0.06069024468426114</x:v>
      </x:c>
      <x:c r="P224" s="30" t="n">
        <x:f>IFERROR(J224/I224,0)</x:f>
        <x:v>0.2623239436619718</x:v>
      </x:c>
      <x:c r="Q224" s="30" t="n">
        <x:f>IFERROR(K224/J224,0)</x:f>
        <x:v>0.5369127516778524</x:v>
      </x:c>
      <x:c r="R224" s="30" t="n">
        <x:f>IFERROR(L224/K224,0)</x:f>
        <x:v>0.4125</x:v>
      </x:c>
      <x:c r="S224" s="28" t="n">
        <x:f>IFERROR(N224/J224,0)</x:f>
        <x:v>1110.345234899329</x:v>
      </x:c>
      <x:c r="T224" s="28" t="n">
        <x:f>IFERROR(N224/K224,0)</x:f>
        <x:v>2068.018</x:v>
      </x:c>
      <x:c r="U224" s="28" t="n">
        <x:f>IFERROR(N224/L224,0)</x:f>
        <x:v>5013.376969696969</x:v>
      </x:c>
    </x:row>
    <x:row r="225">
      <x:c r="A225" t="n">
        <x:v>224</x:v>
      </x:c>
      <x:c r="B225" s="26" t="n">
        <x:v>46079</x:v>
      </x:c>
      <x:c r="C225" t="str">
        <x:v>CPO_Premium</x:v>
      </x:c>
      <x:c r="D225" t="str">
        <x:v>SMS</x:v>
      </x:c>
      <x:c r="E225" t="str">
        <x:v>Jovem Profissional</x:v>
      </x:c>
      <x:c r="F225" t="str">
        <x:v>Uíge</x:v>
      </x:c>
      <x:c r="G225" t="str">
        <x:v>Desktop</x:v>
      </x:c>
      <x:c r="H225" t="n">
        <x:v>1548</x:v>
      </x:c>
      <x:c r="I225" t="n">
        <x:v>116</x:v>
      </x:c>
      <x:c r="J225" t="n">
        <x:v>17</x:v>
      </x:c>
      <x:c r="K225" t="n">
        <x:v>8</x:v>
      </x:c>
      <x:c r="L225" t="n">
        <x:v>5</x:v>
      </x:c>
      <x:c r="M225" s="28" t="n">
        <x:v>5210144.51</x:v>
      </x:c>
      <x:c r="N225" s="28" t="n">
        <x:v>14238.37</x:v>
      </x:c>
      <x:c r="O225" s="30" t="n">
        <x:f>IFERROR(I225/H225,0)</x:f>
        <x:v>0.07493540051679587</x:v>
      </x:c>
      <x:c r="P225" s="30" t="n">
        <x:f>IFERROR(J225/I225,0)</x:f>
        <x:v>0.14655172413793102</x:v>
      </x:c>
      <x:c r="Q225" s="30" t="n">
        <x:f>IFERROR(K225/J225,0)</x:f>
        <x:v>0.47058823529411764</x:v>
      </x:c>
      <x:c r="R225" s="30" t="n">
        <x:f>IFERROR(L225/K225,0)</x:f>
        <x:v>0.625</x:v>
      </x:c>
      <x:c r="S225" s="28" t="n">
        <x:f>IFERROR(N225/J225,0)</x:f>
        <x:v>837.5511764705883</x:v>
      </x:c>
      <x:c r="T225" s="28" t="n">
        <x:f>IFERROR(N225/K225,0)</x:f>
        <x:v>1779.79625</x:v>
      </x:c>
      <x:c r="U225" s="28" t="n">
        <x:f>IFERROR(N225/L225,0)</x:f>
        <x:v>2847.674</x:v>
      </x:c>
    </x:row>
    <x:row r="226">
      <x:c r="A226" t="n">
        <x:v>225</x:v>
      </x:c>
      <x:c r="B226" s="26" t="n">
        <x:v>46080</x:v>
      </x:c>
      <x:c r="C226" t="str">
        <x:v>CPO_Always_On</x:v>
      </x:c>
      <x:c r="D226" t="str">
        <x:v>TikTok Ads</x:v>
      </x:c>
      <x:c r="E226" t="str">
        <x:v>Assalariado</x:v>
      </x:c>
      <x:c r="F226" t="str">
        <x:v>Huíla</x:v>
      </x:c>
      <x:c r="G226" t="str">
        <x:v>iOS</x:v>
      </x:c>
      <x:c r="H226" t="n">
        <x:v>10522</x:v>
      </x:c>
      <x:c r="I226" t="n">
        <x:v>171</x:v>
      </x:c>
      <x:c r="J226" t="n">
        <x:v>13</x:v>
      </x:c>
      <x:c r="K226" t="n">
        <x:v>8</x:v>
      </x:c>
      <x:c r="L226" t="n">
        <x:v>6</x:v>
      </x:c>
      <x:c r="M226" s="28" t="n">
        <x:v>14110144.03</x:v>
      </x:c>
      <x:c r="N226" s="28" t="n">
        <x:v>16346.92</x:v>
      </x:c>
      <x:c r="O226" s="30" t="n">
        <x:f>IFERROR(I226/H226,0)</x:f>
        <x:v>0.01625166318190458</x:v>
      </x:c>
      <x:c r="P226" s="30" t="n">
        <x:f>IFERROR(J226/I226,0)</x:f>
        <x:v>0.07602339181286549</x:v>
      </x:c>
      <x:c r="Q226" s="30" t="n">
        <x:f>IFERROR(K226/J226,0)</x:f>
        <x:v>0.6153846153846154</x:v>
      </x:c>
      <x:c r="R226" s="30" t="n">
        <x:f>IFERROR(L226/K226,0)</x:f>
        <x:v>0.75</x:v>
      </x:c>
      <x:c r="S226" s="28" t="n">
        <x:f>IFERROR(N226/J226,0)</x:f>
        <x:v>1257.4553846153847</x:v>
      </x:c>
      <x:c r="T226" s="28" t="n">
        <x:f>IFERROR(N226/K226,0)</x:f>
        <x:v>2043.365</x:v>
      </x:c>
      <x:c r="U226" s="28" t="n">
        <x:f>IFERROR(N226/L226,0)</x:f>
        <x:v>2724.4866666666667</x:v>
      </x:c>
    </x:row>
    <x:row r="227">
      <x:c r="A227" t="n">
        <x:v>226</x:v>
      </x:c>
      <x:c r="B227" s="26" t="n">
        <x:v>46080</x:v>
      </x:c>
      <x:c r="C227" t="str">
        <x:v>CPO_Acesso_Rapido</x:v>
      </x:c>
      <x:c r="D227" t="str">
        <x:v>SMS</x:v>
      </x:c>
      <x:c r="E227" t="str">
        <x:v>Pequeno Negócio</x:v>
      </x:c>
      <x:c r="F227" t="str">
        <x:v>Uíge</x:v>
      </x:c>
      <x:c r="G227" t="str">
        <x:v>Android</x:v>
      </x:c>
      <x:c r="H227" t="n">
        <x:v>3853</x:v>
      </x:c>
      <x:c r="I227" t="n">
        <x:v>251</x:v>
      </x:c>
      <x:c r="J227" t="n">
        <x:v>31</x:v>
      </x:c>
      <x:c r="K227" t="n">
        <x:v>9</x:v>
      </x:c>
      <x:c r="L227" t="n">
        <x:v>6</x:v>
      </x:c>
      <x:c r="M227" s="28" t="n">
        <x:v>18441915.8</x:v>
      </x:c>
      <x:c r="N227" s="28" t="n">
        <x:v>39082.1</x:v>
      </x:c>
      <x:c r="O227" s="30" t="n">
        <x:f>IFERROR(I227/H227,0)</x:f>
        <x:v>0.06514404360238775</x:v>
      </x:c>
      <x:c r="P227" s="30" t="n">
        <x:f>IFERROR(J227/I227,0)</x:f>
        <x:v>0.12350597609561753</x:v>
      </x:c>
      <x:c r="Q227" s="30" t="n">
        <x:f>IFERROR(K227/J227,0)</x:f>
        <x:v>0.2903225806451613</x:v>
      </x:c>
      <x:c r="R227" s="30" t="n">
        <x:f>IFERROR(L227/K227,0)</x:f>
        <x:v>0.6666666666666666</x:v>
      </x:c>
      <x:c r="S227" s="28" t="n">
        <x:f>IFERROR(N227/J227,0)</x:f>
        <x:v>1260.7129032258065</x:v>
      </x:c>
      <x:c r="T227" s="28" t="n">
        <x:f>IFERROR(N227/K227,0)</x:f>
        <x:v>4342.455555555555</x:v>
      </x:c>
      <x:c r="U227" s="28" t="n">
        <x:f>IFERROR(N227/L227,0)</x:f>
        <x:v>6513.683333333333</x:v>
      </x:c>
    </x:row>
    <x:row r="228">
      <x:c r="A228" t="n">
        <x:v>227</x:v>
      </x:c>
      <x:c r="B228" s="26" t="n">
        <x:v>46080</x:v>
      </x:c>
      <x:c r="C228" t="str">
        <x:v>CPO_Premium</x:v>
      </x:c>
      <x:c r="D228" t="str">
        <x:v>TikTok Ads</x:v>
      </x:c>
      <x:c r="E228" t="str">
        <x:v>Funcionário Público</x:v>
      </x:c>
      <x:c r="F228" t="str">
        <x:v>Luanda</x:v>
      </x:c>
      <x:c r="G228" t="str">
        <x:v>Android</x:v>
      </x:c>
      <x:c r="H228" t="n">
        <x:v>7268</x:v>
      </x:c>
      <x:c r="I228" t="n">
        <x:v>112</x:v>
      </x:c>
      <x:c r="J228" t="n">
        <x:v>8</x:v>
      </x:c>
      <x:c r="K228" t="n">
        <x:v>5</x:v>
      </x:c>
      <x:c r="L228" t="n">
        <x:v>4</x:v>
      </x:c>
      <x:c r="M228" s="28" t="n">
        <x:v>6895444.05</x:v>
      </x:c>
      <x:c r="N228" s="28" t="n">
        <x:v>12728.17</x:v>
      </x:c>
      <x:c r="O228" s="30" t="n">
        <x:f>IFERROR(I228/H228,0)</x:f>
        <x:v>0.015410016510731976</x:v>
      </x:c>
      <x:c r="P228" s="30" t="n">
        <x:f>IFERROR(J228/I228,0)</x:f>
        <x:v>0.07142857142857142</x:v>
      </x:c>
      <x:c r="Q228" s="30" t="n">
        <x:f>IFERROR(K228/J228,0)</x:f>
        <x:v>0.625</x:v>
      </x:c>
      <x:c r="R228" s="30" t="n">
        <x:f>IFERROR(L228/K228,0)</x:f>
        <x:v>0.8</x:v>
      </x:c>
      <x:c r="S228" s="28" t="n">
        <x:f>IFERROR(N228/J228,0)</x:f>
        <x:v>1591.02125</x:v>
      </x:c>
      <x:c r="T228" s="28" t="n">
        <x:f>IFERROR(N228/K228,0)</x:f>
        <x:v>2545.634</x:v>
      </x:c>
      <x:c r="U228" s="28" t="n">
        <x:f>IFERROR(N228/L228,0)</x:f>
        <x:v>3182.0425</x:v>
      </x:c>
    </x:row>
    <x:row r="229">
      <x:c r="A229" t="n">
        <x:v>228</x:v>
      </x:c>
      <x:c r="B229" s="26" t="n">
        <x:v>46080</x:v>
      </x:c>
      <x:c r="C229" t="str">
        <x:v>CPO_Always_On</x:v>
      </x:c>
      <x:c r="D229" t="str">
        <x:v>Meta Ads</x:v>
      </x:c>
      <x:c r="E229" t="str">
        <x:v>Jovem Profissional</x:v>
      </x:c>
      <x:c r="F229" t="str">
        <x:v>Cuanza Sul</x:v>
      </x:c>
      <x:c r="G229" t="str">
        <x:v>Desktop</x:v>
      </x:c>
      <x:c r="H229" t="n">
        <x:v>16358</x:v>
      </x:c>
      <x:c r="I229" t="n">
        <x:v>366</x:v>
      </x:c>
      <x:c r="J229" t="n">
        <x:v>39</x:v>
      </x:c>
      <x:c r="K229" t="n">
        <x:v>25</x:v>
      </x:c>
      <x:c r="L229" t="n">
        <x:v>15</x:v>
      </x:c>
      <x:c r="M229" s="28" t="n">
        <x:v>20469142.89</x:v>
      </x:c>
      <x:c r="N229" s="28" t="n">
        <x:v>38711.69</x:v>
      </x:c>
      <x:c r="O229" s="30" t="n">
        <x:f>IFERROR(I229/H229,0)</x:f>
        <x:v>0.022374373395280596</x:v>
      </x:c>
      <x:c r="P229" s="30" t="n">
        <x:f>IFERROR(J229/I229,0)</x:f>
        <x:v>0.10655737704918032</x:v>
      </x:c>
      <x:c r="Q229" s="30" t="n">
        <x:f>IFERROR(K229/J229,0)</x:f>
        <x:v>0.6410256410256411</x:v>
      </x:c>
      <x:c r="R229" s="30" t="n">
        <x:f>IFERROR(L229/K229,0)</x:f>
        <x:v>0.6</x:v>
      </x:c>
      <x:c r="S229" s="28" t="n">
        <x:f>IFERROR(N229/J229,0)</x:f>
        <x:v>992.607435897436</x:v>
      </x:c>
      <x:c r="T229" s="28" t="n">
        <x:f>IFERROR(N229/K229,0)</x:f>
        <x:v>1548.4676000000002</x:v>
      </x:c>
      <x:c r="U229" s="28" t="n">
        <x:f>IFERROR(N229/L229,0)</x:f>
        <x:v>2580.7793333333334</x:v>
      </x:c>
    </x:row>
    <x:row r="230">
      <x:c r="A230" t="n">
        <x:v>229</x:v>
      </x:c>
      <x:c r="B230" s="26" t="n">
        <x:v>46081</x:v>
      </x:c>
      <x:c r="C230" t="str">
        <x:v>CPO_Always_On</x:v>
      </x:c>
      <x:c r="D230" t="str">
        <x:v>E-mail</x:v>
      </x:c>
      <x:c r="E230" t="str">
        <x:v>Jovem Profissional</x:v>
      </x:c>
      <x:c r="F230" t="str">
        <x:v>Malanje</x:v>
      </x:c>
      <x:c r="G230" t="str">
        <x:v>Android</x:v>
      </x:c>
      <x:c r="H230" t="n">
        <x:v>10244</x:v>
      </x:c>
      <x:c r="I230" t="n">
        <x:v>550</x:v>
      </x:c>
      <x:c r="J230" t="n">
        <x:v>56</x:v>
      </x:c>
      <x:c r="K230" t="n">
        <x:v>31</x:v>
      </x:c>
      <x:c r="L230" t="n">
        <x:v>14</x:v>
      </x:c>
      <x:c r="M230" s="28" t="n">
        <x:v>18636914.09</x:v>
      </x:c>
      <x:c r="N230" s="28" t="n">
        <x:v>179778.53</x:v>
      </x:c>
      <x:c r="O230" s="30" t="n">
        <x:f>IFERROR(I230/H230,0)</x:f>
        <x:v>0.05368996485747755</x:v>
      </x:c>
      <x:c r="P230" s="30" t="n">
        <x:f>IFERROR(J230/I230,0)</x:f>
        <x:v>0.10181818181818182</x:v>
      </x:c>
      <x:c r="Q230" s="30" t="n">
        <x:f>IFERROR(K230/J230,0)</x:f>
        <x:v>0.5535714285714286</x:v>
      </x:c>
      <x:c r="R230" s="30" t="n">
        <x:f>IFERROR(L230/K230,0)</x:f>
        <x:v>0.45161290322580644</x:v>
      </x:c>
      <x:c r="S230" s="28" t="n">
        <x:f>IFERROR(N230/J230,0)</x:f>
        <x:v>3210.3308928571428</x:v>
      </x:c>
      <x:c r="T230" s="28" t="n">
        <x:f>IFERROR(N230/K230,0)</x:f>
        <x:v>5799.307419354839</x:v>
      </x:c>
      <x:c r="U230" s="28" t="n">
        <x:f>IFERROR(N230/L230,0)</x:f>
        <x:v>12841.323571428571</x:v>
      </x:c>
    </x:row>
    <x:row r="231">
      <x:c r="A231" t="n">
        <x:v>230</x:v>
      </x:c>
      <x:c r="B231" s="26" t="n">
        <x:v>46081</x:v>
      </x:c>
      <x:c r="C231" t="str">
        <x:v>CPO_Premium</x:v>
      </x:c>
      <x:c r="D231" t="str">
        <x:v>SMS</x:v>
      </x:c>
      <x:c r="E231" t="str">
        <x:v>Premium</x:v>
      </x:c>
      <x:c r="F231" t="str">
        <x:v>Benguela</x:v>
      </x:c>
      <x:c r="G231" t="str">
        <x:v>Android</x:v>
      </x:c>
      <x:c r="H231" t="n">
        <x:v>2959</x:v>
      </x:c>
      <x:c r="I231" t="n">
        <x:v>199</x:v>
      </x:c>
      <x:c r="J231" t="n">
        <x:v>21</x:v>
      </x:c>
      <x:c r="K231" t="n">
        <x:v>15</x:v>
      </x:c>
      <x:c r="L231" t="n">
        <x:v>11</x:v>
      </x:c>
      <x:c r="M231" s="28" t="n">
        <x:v>45531152.99</x:v>
      </x:c>
      <x:c r="N231" s="28" t="n">
        <x:v>22278.81</x:v>
      </x:c>
      <x:c r="O231" s="30" t="n">
        <x:f>IFERROR(I231/H231,0)</x:f>
        <x:v>0.06725245015207841</x:v>
      </x:c>
      <x:c r="P231" s="30" t="n">
        <x:f>IFERROR(J231/I231,0)</x:f>
        <x:v>0.10552763819095477</x:v>
      </x:c>
      <x:c r="Q231" s="30" t="n">
        <x:f>IFERROR(K231/J231,0)</x:f>
        <x:v>0.7142857142857143</x:v>
      </x:c>
      <x:c r="R231" s="30" t="n">
        <x:f>IFERROR(L231/K231,0)</x:f>
        <x:v>0.7333333333333333</x:v>
      </x:c>
      <x:c r="S231" s="28" t="n">
        <x:f>IFERROR(N231/J231,0)</x:f>
        <x:v>1060.8957142857143</x:v>
      </x:c>
      <x:c r="T231" s="28" t="n">
        <x:f>IFERROR(N231/K231,0)</x:f>
        <x:v>1485.2540000000001</x:v>
      </x:c>
      <x:c r="U231" s="28" t="n">
        <x:f>IFERROR(N231/L231,0)</x:f>
        <x:v>2025.3463636363638</x:v>
      </x:c>
    </x:row>
    <x:row r="232">
      <x:c r="A232" t="n">
        <x:v>231</x:v>
      </x:c>
      <x:c r="B232" s="26" t="n">
        <x:v>46081</x:v>
      </x:c>
      <x:c r="C232" t="str">
        <x:v>CPO_Premium</x:v>
      </x:c>
      <x:c r="D232" t="str">
        <x:v>TikTok Ads</x:v>
      </x:c>
      <x:c r="E232" t="str">
        <x:v>Pequeno Negócio</x:v>
      </x:c>
      <x:c r="F232" t="str">
        <x:v>Cuanza Sul</x:v>
      </x:c>
      <x:c r="G232" t="str">
        <x:v>Android</x:v>
      </x:c>
      <x:c r="H232" t="n">
        <x:v>23763</x:v>
      </x:c>
      <x:c r="I232" t="n">
        <x:v>411</x:v>
      </x:c>
      <x:c r="J232" t="n">
        <x:v>39</x:v>
      </x:c>
      <x:c r="K232" t="n">
        <x:v>17</x:v>
      </x:c>
      <x:c r="L232" t="n">
        <x:v>7</x:v>
      </x:c>
      <x:c r="M232" s="28" t="n">
        <x:v>21389626.5</x:v>
      </x:c>
      <x:c r="N232" s="28" t="n">
        <x:v>51436.35</x:v>
      </x:c>
      <x:c r="O232" s="30" t="n">
        <x:f>IFERROR(I232/H232,0)</x:f>
        <x:v>0.017295795985355383</x:v>
      </x:c>
      <x:c r="P232" s="30" t="n">
        <x:f>IFERROR(J232/I232,0)</x:f>
        <x:v>0.0948905109489051</x:v>
      </x:c>
      <x:c r="Q232" s="30" t="n">
        <x:f>IFERROR(K232/J232,0)</x:f>
        <x:v>0.4358974358974359</x:v>
      </x:c>
      <x:c r="R232" s="30" t="n">
        <x:f>IFERROR(L232/K232,0)</x:f>
        <x:v>0.4117647058823529</x:v>
      </x:c>
      <x:c r="S232" s="28" t="n">
        <x:f>IFERROR(N232/J232,0)</x:f>
        <x:v>1318.8807692307691</x:v>
      </x:c>
      <x:c r="T232" s="28" t="n">
        <x:f>IFERROR(N232/K232,0)</x:f>
        <x:v>3025.6676470588236</x:v>
      </x:c>
      <x:c r="U232" s="28" t="n">
        <x:f>IFERROR(N232/L232,0)</x:f>
        <x:v>7348.05</x:v>
      </x:c>
    </x:row>
    <x:row r="233">
      <x:c r="A233" t="n">
        <x:v>232</x:v>
      </x:c>
      <x:c r="B233" s="26" t="n">
        <x:v>46081</x:v>
      </x:c>
      <x:c r="C233" t="str">
        <x:v>CPO_Always_On</x:v>
      </x:c>
      <x:c r="D233" t="str">
        <x:v>Google Ads</x:v>
      </x:c>
      <x:c r="E233" t="str">
        <x:v>Pequeno Negócio</x:v>
      </x:c>
      <x:c r="F233" t="str">
        <x:v>Luanda</x:v>
      </x:c>
      <x:c r="G233" t="str">
        <x:v>Android</x:v>
      </x:c>
      <x:c r="H233" t="n">
        <x:v>25062</x:v>
      </x:c>
      <x:c r="I233" t="n">
        <x:v>674</x:v>
      </x:c>
      <x:c r="J233" t="n">
        <x:v>83</x:v>
      </x:c>
      <x:c r="K233" t="n">
        <x:v>32</x:v>
      </x:c>
      <x:c r="L233" t="n">
        <x:v>9</x:v>
      </x:c>
      <x:c r="M233" s="28" t="n">
        <x:v>30100702.26</x:v>
      </x:c>
      <x:c r="N233" s="28" t="n">
        <x:v>83566.83</x:v>
      </x:c>
      <x:c r="O233" s="30" t="n">
        <x:f>IFERROR(I233/H233,0)</x:f>
        <x:v>0.02689330460458064</x:v>
      </x:c>
      <x:c r="P233" s="30" t="n">
        <x:f>IFERROR(J233/I233,0)</x:f>
        <x:v>0.12314540059347182</x:v>
      </x:c>
      <x:c r="Q233" s="30" t="n">
        <x:f>IFERROR(K233/J233,0)</x:f>
        <x:v>0.3855421686746988</x:v>
      </x:c>
      <x:c r="R233" s="30" t="n">
        <x:f>IFERROR(L233/K233,0)</x:f>
        <x:v>0.28125</x:v>
      </x:c>
      <x:c r="S233" s="28" t="n">
        <x:f>IFERROR(N233/J233,0)</x:f>
        <x:v>1006.8292771084338</x:v>
      </x:c>
      <x:c r="T233" s="28" t="n">
        <x:f>IFERROR(N233/K233,0)</x:f>
        <x:v>2611.4634375</x:v>
      </x:c>
      <x:c r="U233" s="28" t="n">
        <x:f>IFERROR(N233/L233,0)</x:f>
        <x:v>9285.203333333333</x:v>
      </x:c>
    </x:row>
    <x:row r="234">
      <x:c r="A234" t="n">
        <x:v>233</x:v>
      </x:c>
      <x:c r="B234" s="26" t="n">
        <x:v>46082</x:v>
      </x:c>
      <x:c r="C234" t="str">
        <x:v>CPO_Digital_360</x:v>
      </x:c>
      <x:c r="D234" t="str">
        <x:v>SMS</x:v>
      </x:c>
      <x:c r="E234" t="str">
        <x:v>Pequeno Negócio</x:v>
      </x:c>
      <x:c r="F234" t="str">
        <x:v>Huíla</x:v>
      </x:c>
      <x:c r="G234" t="str">
        <x:v>Android</x:v>
      </x:c>
      <x:c r="H234" t="n">
        <x:v>7791</x:v>
      </x:c>
      <x:c r="I234" t="n">
        <x:v>459</x:v>
      </x:c>
      <x:c r="J234" t="n">
        <x:v>64</x:v>
      </x:c>
      <x:c r="K234" t="n">
        <x:v>36</x:v>
      </x:c>
      <x:c r="L234" t="n">
        <x:v>16</x:v>
      </x:c>
      <x:c r="M234" s="28" t="n">
        <x:v>43098078.21</x:v>
      </x:c>
      <x:c r="N234" s="28" t="n">
        <x:v>129642.75</x:v>
      </x:c>
      <x:c r="O234" s="30" t="n">
        <x:f>IFERROR(I234/H234,0)</x:f>
        <x:v>0.058914131690412014</x:v>
      </x:c>
      <x:c r="P234" s="30" t="n">
        <x:f>IFERROR(J234/I234,0)</x:f>
        <x:v>0.1394335511982571</x:v>
      </x:c>
      <x:c r="Q234" s="30" t="n">
        <x:f>IFERROR(K234/J234,0)</x:f>
        <x:v>0.5625</x:v>
      </x:c>
      <x:c r="R234" s="30" t="n">
        <x:f>IFERROR(L234/K234,0)</x:f>
        <x:v>0.4444444444444444</x:v>
      </x:c>
      <x:c r="S234" s="28" t="n">
        <x:f>IFERROR(N234/J234,0)</x:f>
        <x:v>2025.66796875</x:v>
      </x:c>
      <x:c r="T234" s="28" t="n">
        <x:f>IFERROR(N234/K234,0)</x:f>
        <x:v>3601.1875</x:v>
      </x:c>
      <x:c r="U234" s="28" t="n">
        <x:f>IFERROR(N234/L234,0)</x:f>
        <x:v>8102.671875</x:v>
      </x:c>
    </x:row>
    <x:row r="235">
      <x:c r="A235" t="n">
        <x:v>234</x:v>
      </x:c>
      <x:c r="B235" s="26" t="n">
        <x:v>46082</x:v>
      </x:c>
      <x:c r="C235" t="str">
        <x:v>CPO_Acesso_Rapido</x:v>
      </x:c>
      <x:c r="D235" t="str">
        <x:v>BAI Directo/App</x:v>
      </x:c>
      <x:c r="E235" t="str">
        <x:v>Jovem Profissional</x:v>
      </x:c>
      <x:c r="F235" t="str">
        <x:v>Luanda</x:v>
      </x:c>
      <x:c r="G235" t="str">
        <x:v>Desktop</x:v>
      </x:c>
      <x:c r="H235" t="n">
        <x:v>1154</x:v>
      </x:c>
      <x:c r="I235" t="n">
        <x:v>183</x:v>
      </x:c>
      <x:c r="J235" t="n">
        <x:v>50</x:v>
      </x:c>
      <x:c r="K235" t="n">
        <x:v>28</x:v>
      </x:c>
      <x:c r="L235" t="n">
        <x:v>18</x:v>
      </x:c>
      <x:c r="M235" s="28" t="n">
        <x:v>22840059.32</x:v>
      </x:c>
      <x:c r="N235" s="28" t="n">
        <x:v>7460.08</x:v>
      </x:c>
      <x:c r="O235" s="30" t="n">
        <x:f>IFERROR(I235/H235,0)</x:f>
        <x:v>0.158578856152513</x:v>
      </x:c>
      <x:c r="P235" s="30" t="n">
        <x:f>IFERROR(J235/I235,0)</x:f>
        <x:v>0.273224043715847</x:v>
      </x:c>
      <x:c r="Q235" s="30" t="n">
        <x:f>IFERROR(K235/J235,0)</x:f>
        <x:v>0.56</x:v>
      </x:c>
      <x:c r="R235" s="30" t="n">
        <x:f>IFERROR(L235/K235,0)</x:f>
        <x:v>0.6428571428571429</x:v>
      </x:c>
      <x:c r="S235" s="28" t="n">
        <x:f>IFERROR(N235/J235,0)</x:f>
        <x:v>149.20159999999998</x:v>
      </x:c>
      <x:c r="T235" s="28" t="n">
        <x:f>IFERROR(N235/K235,0)</x:f>
        <x:v>266.43142857142857</x:v>
      </x:c>
      <x:c r="U235" s="28" t="n">
        <x:f>IFERROR(N235/L235,0)</x:f>
        <x:v>414.44888888888886</x:v>
      </x:c>
    </x:row>
    <x:row r="236">
      <x:c r="A236" t="n">
        <x:v>235</x:v>
      </x:c>
      <x:c r="B236" s="26" t="n">
        <x:v>46082</x:v>
      </x:c>
      <x:c r="C236" t="str">
        <x:v>CPO_Premium</x:v>
      </x:c>
      <x:c r="D236" t="str">
        <x:v>BAI Directo/App</x:v>
      </x:c>
      <x:c r="E236" t="str">
        <x:v>Jovem Profissional</x:v>
      </x:c>
      <x:c r="F236" t="str">
        <x:v>Benguela</x:v>
      </x:c>
      <x:c r="G236" t="str">
        <x:v>iOS</x:v>
      </x:c>
      <x:c r="H236" t="n">
        <x:v>11177</x:v>
      </x:c>
      <x:c r="I236" t="n">
        <x:v>1374</x:v>
      </x:c>
      <x:c r="J236" t="n">
        <x:v>374</x:v>
      </x:c>
      <x:c r="K236" t="n">
        <x:v>177</x:v>
      </x:c>
      <x:c r="L236" t="n">
        <x:v>108</x:v>
      </x:c>
      <x:c r="M236" s="28" t="n">
        <x:v>143857375.67</x:v>
      </x:c>
      <x:c r="N236" s="28" t="n">
        <x:v>108875.72</x:v>
      </x:c>
      <x:c r="O236" s="30" t="n">
        <x:f>IFERROR(I236/H236,0)</x:f>
        <x:v>0.12293101905699204</x:v>
      </x:c>
      <x:c r="P236" s="30" t="n">
        <x:f>IFERROR(J236/I236,0)</x:f>
        <x:v>0.27219796215429404</x:v>
      </x:c>
      <x:c r="Q236" s="30" t="n">
        <x:f>IFERROR(K236/J236,0)</x:f>
        <x:v>0.4732620320855615</x:v>
      </x:c>
      <x:c r="R236" s="30" t="n">
        <x:f>IFERROR(L236/K236,0)</x:f>
        <x:v>0.6101694915254238</x:v>
      </x:c>
      <x:c r="S236" s="28" t="n">
        <x:f>IFERROR(N236/J236,0)</x:f>
        <x:v>291.11155080213905</x:v>
      </x:c>
      <x:c r="T236" s="28" t="n">
        <x:f>IFERROR(N236/K236,0)</x:f>
        <x:v>615.1170621468926</x:v>
      </x:c>
      <x:c r="U236" s="28" t="n">
        <x:f>IFERROR(N236/L236,0)</x:f>
        <x:v>1008.1085185185185</x:v>
      </x:c>
    </x:row>
    <x:row r="237">
      <x:c r="A237" t="n">
        <x:v>236</x:v>
      </x:c>
      <x:c r="B237" s="26" t="n">
        <x:v>46082</x:v>
      </x:c>
      <x:c r="C237" t="str">
        <x:v>CPO_Fim_do_Mes</x:v>
      </x:c>
      <x:c r="D237" t="str">
        <x:v>Meta Ads</x:v>
      </x:c>
      <x:c r="E237" t="str">
        <x:v>Pequeno Negócio</x:v>
      </x:c>
      <x:c r="F237" t="str">
        <x:v>Luanda</x:v>
      </x:c>
      <x:c r="G237" t="str">
        <x:v>Android</x:v>
      </x:c>
      <x:c r="H237" t="n">
        <x:v>23638</x:v>
      </x:c>
      <x:c r="I237" t="n">
        <x:v>340</x:v>
      </x:c>
      <x:c r="J237" t="n">
        <x:v>45</x:v>
      </x:c>
      <x:c r="K237" t="n">
        <x:v>19</x:v>
      </x:c>
      <x:c r="L237" t="n">
        <x:v>9</x:v>
      </x:c>
      <x:c r="M237" s="28" t="n">
        <x:v>29922981.53</x:v>
      </x:c>
      <x:c r="N237" s="28" t="n">
        <x:v>15774.91</x:v>
      </x:c>
      <x:c r="O237" s="30" t="n">
        <x:f>IFERROR(I237/H237,0)</x:f>
        <x:v>0.014383619595566461</x:v>
      </x:c>
      <x:c r="P237" s="30" t="n">
        <x:f>IFERROR(J237/I237,0)</x:f>
        <x:v>0.1323529411764706</x:v>
      </x:c>
      <x:c r="Q237" s="30" t="n">
        <x:f>IFERROR(K237/J237,0)</x:f>
        <x:v>0.4222222222222222</x:v>
      </x:c>
      <x:c r="R237" s="30" t="n">
        <x:f>IFERROR(L237/K237,0)</x:f>
        <x:v>0.47368421052631576</x:v>
      </x:c>
      <x:c r="S237" s="28" t="n">
        <x:f>IFERROR(N237/J237,0)</x:f>
        <x:v>350.55355555555553</x:v>
      </x:c>
      <x:c r="T237" s="28" t="n">
        <x:f>IFERROR(N237/K237,0)</x:f>
        <x:v>830.2584210526315</x:v>
      </x:c>
      <x:c r="U237" s="28" t="n">
        <x:f>IFERROR(N237/L237,0)</x:f>
        <x:v>1752.7677777777778</x:v>
      </x:c>
    </x:row>
    <x:row r="238">
      <x:c r="A238" t="n">
        <x:v>237</x:v>
      </x:c>
      <x:c r="B238" s="26" t="n">
        <x:v>46082</x:v>
      </x:c>
      <x:c r="C238" t="str">
        <x:v>CPO_Fim_do_Mes</x:v>
      </x:c>
      <x:c r="D238" t="str">
        <x:v>BAI Directo/App</x:v>
      </x:c>
      <x:c r="E238" t="str">
        <x:v>Assalariado</x:v>
      </x:c>
      <x:c r="F238" t="str">
        <x:v>Huambo</x:v>
      </x:c>
      <x:c r="G238" t="str">
        <x:v>Android</x:v>
      </x:c>
      <x:c r="H238" t="n">
        <x:v>6168</x:v>
      </x:c>
      <x:c r="I238" t="n">
        <x:v>833</x:v>
      </x:c>
      <x:c r="J238" t="n">
        <x:v>151</x:v>
      </x:c>
      <x:c r="K238" t="n">
        <x:v>92</x:v>
      </x:c>
      <x:c r="L238" t="n">
        <x:v>69</x:v>
      </x:c>
      <x:c r="M238" s="28" t="n">
        <x:v>161045655.12</x:v>
      </x:c>
      <x:c r="N238" s="28" t="n">
        <x:v>106133.84</x:v>
      </x:c>
      <x:c r="O238" s="30" t="n">
        <x:f>IFERROR(I238/H238,0)</x:f>
        <x:v>0.13505188067444876</x:v>
      </x:c>
      <x:c r="P238" s="30" t="n">
        <x:f>IFERROR(J238/I238,0)</x:f>
        <x:v>0.18127250900360145</x:v>
      </x:c>
      <x:c r="Q238" s="30" t="n">
        <x:f>IFERROR(K238/J238,0)</x:f>
        <x:v>0.609271523178808</x:v>
      </x:c>
      <x:c r="R238" s="30" t="n">
        <x:f>IFERROR(L238/K238,0)</x:f>
        <x:v>0.75</x:v>
      </x:c>
      <x:c r="S238" s="28" t="n">
        <x:f>IFERROR(N238/J238,0)</x:f>
        <x:v>702.8731125827815</x:v>
      </x:c>
      <x:c r="T238" s="28" t="n">
        <x:f>IFERROR(N238/K238,0)</x:f>
        <x:v>1153.628695652174</x:v>
      </x:c>
      <x:c r="U238" s="28" t="n">
        <x:f>IFERROR(N238/L238,0)</x:f>
        <x:v>1538.1715942028984</x:v>
      </x:c>
    </x:row>
    <x:row r="239">
      <x:c r="A239" t="n">
        <x:v>238</x:v>
      </x:c>
      <x:c r="B239" s="26" t="n">
        <x:v>46083</x:v>
      </x:c>
      <x:c r="C239" t="str">
        <x:v>CPO_Premium</x:v>
      </x:c>
      <x:c r="D239" t="str">
        <x:v>TikTok Ads</x:v>
      </x:c>
      <x:c r="E239" t="str">
        <x:v>Premium</x:v>
      </x:c>
      <x:c r="F239" t="str">
        <x:v>Huambo</x:v>
      </x:c>
      <x:c r="G239" t="str">
        <x:v>iOS</x:v>
      </x:c>
      <x:c r="H239" t="n">
        <x:v>11344</x:v>
      </x:c>
      <x:c r="I239" t="n">
        <x:v>152</x:v>
      </x:c>
      <x:c r="J239" t="n">
        <x:v>11</x:v>
      </x:c>
      <x:c r="K239" t="n">
        <x:v>6</x:v>
      </x:c>
      <x:c r="L239" t="n">
        <x:v>4</x:v>
      </x:c>
      <x:c r="M239" s="28" t="n">
        <x:v>18035735.02</x:v>
      </x:c>
      <x:c r="N239" s="28" t="n">
        <x:v>26576.31</x:v>
      </x:c>
      <x:c r="O239" s="30" t="n">
        <x:f>IFERROR(I239/H239,0)</x:f>
        <x:v>0.013399153737658674</x:v>
      </x:c>
      <x:c r="P239" s="30" t="n">
        <x:f>IFERROR(J239/I239,0)</x:f>
        <x:v>0.07236842105263158</x:v>
      </x:c>
      <x:c r="Q239" s="30" t="n">
        <x:f>IFERROR(K239/J239,0)</x:f>
        <x:v>0.5454545454545454</x:v>
      </x:c>
      <x:c r="R239" s="30" t="n">
        <x:f>IFERROR(L239/K239,0)</x:f>
        <x:v>0.6666666666666666</x:v>
      </x:c>
      <x:c r="S239" s="28" t="n">
        <x:f>IFERROR(N239/J239,0)</x:f>
        <x:v>2416.028181818182</x:v>
      </x:c>
      <x:c r="T239" s="28" t="n">
        <x:f>IFERROR(N239/K239,0)</x:f>
        <x:v>4429.385</x:v>
      </x:c>
      <x:c r="U239" s="28" t="n">
        <x:f>IFERROR(N239/L239,0)</x:f>
        <x:v>6644.0775</x:v>
      </x:c>
    </x:row>
    <x:row r="240">
      <x:c r="A240" t="n">
        <x:v>239</x:v>
      </x:c>
      <x:c r="B240" s="26" t="n">
        <x:v>46083</x:v>
      </x:c>
      <x:c r="C240" t="str">
        <x:v>CPO_Salario</x:v>
      </x:c>
      <x:c r="D240" t="str">
        <x:v>BAI Directo/App</x:v>
      </x:c>
      <x:c r="E240" t="str">
        <x:v>Funcionário Público</x:v>
      </x:c>
      <x:c r="F240" t="str">
        <x:v>Huíla</x:v>
      </x:c>
      <x:c r="G240" t="str">
        <x:v>Android</x:v>
      </x:c>
      <x:c r="H240" t="n">
        <x:v>10368</x:v>
      </x:c>
      <x:c r="I240" t="n">
        <x:v>894</x:v>
      </x:c>
      <x:c r="J240" t="n">
        <x:v>149</x:v>
      </x:c>
      <x:c r="K240" t="n">
        <x:v>106</x:v>
      </x:c>
      <x:c r="L240" t="n">
        <x:v>71</x:v>
      </x:c>
      <x:c r="M240" s="28" t="n">
        <x:v>127807122.77</x:v>
      </x:c>
      <x:c r="N240" s="28" t="n">
        <x:v>48379.6</x:v>
      </x:c>
      <x:c r="O240" s="30" t="n">
        <x:f>IFERROR(I240/H240,0)</x:f>
        <x:v>0.08622685185185185</x:v>
      </x:c>
      <x:c r="P240" s="30" t="n">
        <x:f>IFERROR(J240/I240,0)</x:f>
        <x:v>0.16666666666666666</x:v>
      </x:c>
      <x:c r="Q240" s="30" t="n">
        <x:f>IFERROR(K240/J240,0)</x:f>
        <x:v>0.7114093959731543</x:v>
      </x:c>
      <x:c r="R240" s="30" t="n">
        <x:f>IFERROR(L240/K240,0)</x:f>
        <x:v>0.6698113207547169</x:v>
      </x:c>
      <x:c r="S240" s="28" t="n">
        <x:f>IFERROR(N240/J240,0)</x:f>
        <x:v>324.6953020134228</x:v>
      </x:c>
      <x:c r="T240" s="28" t="n">
        <x:f>IFERROR(N240/K240,0)</x:f>
        <x:v>456.41132075471694</x:v>
      </x:c>
      <x:c r="U240" s="28" t="n">
        <x:f>IFERROR(N240/L240,0)</x:f>
        <x:v>681.4028169014084</x:v>
      </x:c>
    </x:row>
    <x:row r="241">
      <x:c r="A241" t="n">
        <x:v>240</x:v>
      </x:c>
      <x:c r="B241" s="26" t="n">
        <x:v>46083</x:v>
      </x:c>
      <x:c r="C241" t="str">
        <x:v>CPO_Salario</x:v>
      </x:c>
      <x:c r="D241" t="str">
        <x:v>Meta Ads</x:v>
      </x:c>
      <x:c r="E241" t="str">
        <x:v>Assalariado</x:v>
      </x:c>
      <x:c r="F241" t="str">
        <x:v>Uíge</x:v>
      </x:c>
      <x:c r="G241" t="str">
        <x:v>Android</x:v>
      </x:c>
      <x:c r="H241" t="n">
        <x:v>4657</x:v>
      </x:c>
      <x:c r="I241" t="n">
        <x:v>73</x:v>
      </x:c>
      <x:c r="J241" t="n">
        <x:v>8</x:v>
      </x:c>
      <x:c r="K241" t="n">
        <x:v>6</x:v>
      </x:c>
      <x:c r="L241" t="n">
        <x:v>3</x:v>
      </x:c>
      <x:c r="M241" s="28" t="n">
        <x:v>6663153.32</x:v>
      </x:c>
      <x:c r="N241" s="28" t="n">
        <x:v>10606.47</x:v>
      </x:c>
      <x:c r="O241" s="30" t="n">
        <x:f>IFERROR(I241/H241,0)</x:f>
        <x:v>0.015675327464032638</x:v>
      </x:c>
      <x:c r="P241" s="30" t="n">
        <x:f>IFERROR(J241/I241,0)</x:f>
        <x:v>0.1095890410958904</x:v>
      </x:c>
      <x:c r="Q241" s="30" t="n">
        <x:f>IFERROR(K241/J241,0)</x:f>
        <x:v>0.75</x:v>
      </x:c>
      <x:c r="R241" s="30" t="n">
        <x:f>IFERROR(L241/K241,0)</x:f>
        <x:v>0.5</x:v>
      </x:c>
      <x:c r="S241" s="28" t="n">
        <x:f>IFERROR(N241/J241,0)</x:f>
        <x:v>1325.80875</x:v>
      </x:c>
      <x:c r="T241" s="28" t="n">
        <x:f>IFERROR(N241/K241,0)</x:f>
        <x:v>1767.745</x:v>
      </x:c>
      <x:c r="U241" s="28" t="n">
        <x:f>IFERROR(N241/L241,0)</x:f>
        <x:v>3535.49</x:v>
      </x:c>
    </x:row>
    <x:row r="242">
      <x:c r="A242" t="n">
        <x:v>241</x:v>
      </x:c>
      <x:c r="B242" s="26" t="n">
        <x:v>46084</x:v>
      </x:c>
      <x:c r="C242" t="str">
        <x:v>CPO_Digital_360</x:v>
      </x:c>
      <x:c r="D242" t="str">
        <x:v>Google Ads</x:v>
      </x:c>
      <x:c r="E242" t="str">
        <x:v>Jovem Profissional</x:v>
      </x:c>
      <x:c r="F242" t="str">
        <x:v>Cabinda</x:v>
      </x:c>
      <x:c r="G242" t="str">
        <x:v>Android</x:v>
      </x:c>
      <x:c r="H242" t="n">
        <x:v>25629</x:v>
      </x:c>
      <x:c r="I242" t="n">
        <x:v>1115</x:v>
      </x:c>
      <x:c r="J242" t="n">
        <x:v>135</x:v>
      </x:c>
      <x:c r="K242" t="n">
        <x:v>64</x:v>
      </x:c>
      <x:c r="L242" t="n">
        <x:v>42</x:v>
      </x:c>
      <x:c r="M242" s="28" t="n">
        <x:v>54039454.46</x:v>
      </x:c>
      <x:c r="N242" s="28" t="n">
        <x:v>164989.66</x:v>
      </x:c>
      <x:c r="O242" s="30" t="n">
        <x:f>IFERROR(I242/H242,0)</x:f>
        <x:v>0.04350540403449218</x:v>
      </x:c>
      <x:c r="P242" s="30" t="n">
        <x:f>IFERROR(J242/I242,0)</x:f>
        <x:v>0.1210762331838565</x:v>
      </x:c>
      <x:c r="Q242" s="30" t="n">
        <x:f>IFERROR(K242/J242,0)</x:f>
        <x:v>0.4740740740740741</x:v>
      </x:c>
      <x:c r="R242" s="30" t="n">
        <x:f>IFERROR(L242/K242,0)</x:f>
        <x:v>0.65625</x:v>
      </x:c>
      <x:c r="S242" s="28" t="n">
        <x:f>IFERROR(N242/J242,0)</x:f>
        <x:v>1222.1456296296296</x:v>
      </x:c>
      <x:c r="T242" s="28" t="n">
        <x:f>IFERROR(N242/K242,0)</x:f>
        <x:v>2577.9634375</x:v>
      </x:c>
      <x:c r="U242" s="28" t="n">
        <x:f>IFERROR(N242/L242,0)</x:f>
        <x:v>3928.325238095238</x:v>
      </x:c>
    </x:row>
    <x:row r="243">
      <x:c r="A243" t="n">
        <x:v>242</x:v>
      </x:c>
      <x:c r="B243" s="26" t="n">
        <x:v>46084</x:v>
      </x:c>
      <x:c r="C243" t="str">
        <x:v>CPO_Fim_do_Mes</x:v>
      </x:c>
      <x:c r="D243" t="str">
        <x:v>E-mail</x:v>
      </x:c>
      <x:c r="E243" t="str">
        <x:v>Pequeno Negócio</x:v>
      </x:c>
      <x:c r="F243" t="str">
        <x:v>Benguela</x:v>
      </x:c>
      <x:c r="G243" t="str">
        <x:v>Android</x:v>
      </x:c>
      <x:c r="H243" t="n">
        <x:v>11382</x:v>
      </x:c>
      <x:c r="I243" t="n">
        <x:v>637</x:v>
      </x:c>
      <x:c r="J243" t="n">
        <x:v>95</x:v>
      </x:c>
      <x:c r="K243" t="n">
        <x:v>44</x:v>
      </x:c>
      <x:c r="L243" t="n">
        <x:v>25</x:v>
      </x:c>
      <x:c r="M243" s="28" t="n">
        <x:v>72448845.46</x:v>
      </x:c>
      <x:c r="N243" s="28" t="n">
        <x:v>41163</x:v>
      </x:c>
      <x:c r="O243" s="30" t="n">
        <x:f>IFERROR(I243/H243,0)</x:f>
        <x:v>0.055965559655596554</x:v>
      </x:c>
      <x:c r="P243" s="30" t="n">
        <x:f>IFERROR(J243/I243,0)</x:f>
        <x:v>0.14913657770800628</x:v>
      </x:c>
      <x:c r="Q243" s="30" t="n">
        <x:f>IFERROR(K243/J243,0)</x:f>
        <x:v>0.4631578947368421</x:v>
      </x:c>
      <x:c r="R243" s="30" t="n">
        <x:f>IFERROR(L243/K243,0)</x:f>
        <x:v>0.5681818181818182</x:v>
      </x:c>
      <x:c r="S243" s="28" t="n">
        <x:f>IFERROR(N243/J243,0)</x:f>
        <x:v>433.29473684210524</x:v>
      </x:c>
      <x:c r="T243" s="28" t="n">
        <x:f>IFERROR(N243/K243,0)</x:f>
        <x:v>935.5227272727273</x:v>
      </x:c>
      <x:c r="U243" s="28" t="n">
        <x:f>IFERROR(N243/L243,0)</x:f>
        <x:v>1646.52</x:v>
      </x:c>
    </x:row>
    <x:row r="244">
      <x:c r="A244" t="n">
        <x:v>243</x:v>
      </x:c>
      <x:c r="B244" s="26" t="n">
        <x:v>46084</x:v>
      </x:c>
      <x:c r="C244" t="str">
        <x:v>CPO_Premium</x:v>
      </x:c>
      <x:c r="D244" t="str">
        <x:v>E-mail</x:v>
      </x:c>
      <x:c r="E244" t="str">
        <x:v>Premium</x:v>
      </x:c>
      <x:c r="F244" t="str">
        <x:v>Cuanza Sul</x:v>
      </x:c>
      <x:c r="G244" t="str">
        <x:v>Android</x:v>
      </x:c>
      <x:c r="H244" t="n">
        <x:v>10184</x:v>
      </x:c>
      <x:c r="I244" t="n">
        <x:v>774</x:v>
      </x:c>
      <x:c r="J244" t="n">
        <x:v>72</x:v>
      </x:c>
      <x:c r="K244" t="n">
        <x:v>49</x:v>
      </x:c>
      <x:c r="L244" t="n">
        <x:v>47</x:v>
      </x:c>
      <x:c r="M244" s="28" t="n">
        <x:v>247607473.71</x:v>
      </x:c>
      <x:c r="N244" s="28" t="n">
        <x:v>61028.64</x:v>
      </x:c>
      <x:c r="O244" s="30" t="n">
        <x:f>IFERROR(I244/H244,0)</x:f>
        <x:v>0.07600157109190887</x:v>
      </x:c>
      <x:c r="P244" s="30" t="n">
        <x:f>IFERROR(J244/I244,0)</x:f>
        <x:v>0.09302325581395349</x:v>
      </x:c>
      <x:c r="Q244" s="30" t="n">
        <x:f>IFERROR(K244/J244,0)</x:f>
        <x:v>0.6805555555555556</x:v>
      </x:c>
      <x:c r="R244" s="30" t="n">
        <x:f>IFERROR(L244/K244,0)</x:f>
        <x:v>0.9591836734693877</x:v>
      </x:c>
      <x:c r="S244" s="28" t="n">
        <x:f>IFERROR(N244/J244,0)</x:f>
        <x:v>847.62</x:v>
      </x:c>
      <x:c r="T244" s="28" t="n">
        <x:f>IFERROR(N244/K244,0)</x:f>
        <x:v>1245.482448979592</x:v>
      </x:c>
      <x:c r="U244" s="28" t="n">
        <x:f>IFERROR(N244/L244,0)</x:f>
        <x:v>1298.4817021276597</x:v>
      </x:c>
    </x:row>
    <x:row r="245">
      <x:c r="A245" t="n">
        <x:v>244</x:v>
      </x:c>
      <x:c r="B245" s="26" t="n">
        <x:v>46084</x:v>
      </x:c>
      <x:c r="C245" t="str">
        <x:v>CPO_Acesso_Rapido</x:v>
      </x:c>
      <x:c r="D245" t="str">
        <x:v>Google Ads</x:v>
      </x:c>
      <x:c r="E245" t="str">
        <x:v>Funcionário Público</x:v>
      </x:c>
      <x:c r="F245" t="str">
        <x:v>Benguela</x:v>
      </x:c>
      <x:c r="G245" t="str">
        <x:v>Android</x:v>
      </x:c>
      <x:c r="H245" t="n">
        <x:v>12243</x:v>
      </x:c>
      <x:c r="I245" t="n">
        <x:v>320</x:v>
      </x:c>
      <x:c r="J245" t="n">
        <x:v>39</x:v>
      </x:c>
      <x:c r="K245" t="n">
        <x:v>26</x:v>
      </x:c>
      <x:c r="L245" t="n">
        <x:v>16</x:v>
      </x:c>
      <x:c r="M245" s="28" t="n">
        <x:v>26420074.32</x:v>
      </x:c>
      <x:c r="N245" s="28" t="n">
        <x:v>42945.68</x:v>
      </x:c>
      <x:c r="O245" s="30" t="n">
        <x:f>IFERROR(I245/H245,0)</x:f>
        <x:v>0.026137384627950667</x:v>
      </x:c>
      <x:c r="P245" s="30" t="n">
        <x:f>IFERROR(J245/I245,0)</x:f>
        <x:v>0.121875</x:v>
      </x:c>
      <x:c r="Q245" s="30" t="n">
        <x:f>IFERROR(K245/J245,0)</x:f>
        <x:v>0.6666666666666666</x:v>
      </x:c>
      <x:c r="R245" s="30" t="n">
        <x:f>IFERROR(L245/K245,0)</x:f>
        <x:v>0.6153846153846154</x:v>
      </x:c>
      <x:c r="S245" s="28" t="n">
        <x:f>IFERROR(N245/J245,0)</x:f>
        <x:v>1101.171282051282</x:v>
      </x:c>
      <x:c r="T245" s="28" t="n">
        <x:f>IFERROR(N245/K245,0)</x:f>
        <x:v>1651.7569230769232</x:v>
      </x:c>
      <x:c r="U245" s="28" t="n">
        <x:f>IFERROR(N245/L245,0)</x:f>
        <x:v>2684.105</x:v>
      </x:c>
    </x:row>
    <x:row r="246">
      <x:c r="A246" t="n">
        <x:v>245</x:v>
      </x:c>
      <x:c r="B246" s="26" t="n">
        <x:v>46085</x:v>
      </x:c>
      <x:c r="C246" t="str">
        <x:v>CPO_Fim_do_Mes</x:v>
      </x:c>
      <x:c r="D246" t="str">
        <x:v>Google Ads</x:v>
      </x:c>
      <x:c r="E246" t="str">
        <x:v>Pequeno Negócio</x:v>
      </x:c>
      <x:c r="F246" t="str">
        <x:v>Benguela</x:v>
      </x:c>
      <x:c r="G246" t="str">
        <x:v>Android</x:v>
      </x:c>
      <x:c r="H246" t="n">
        <x:v>21032</x:v>
      </x:c>
      <x:c r="I246" t="n">
        <x:v>767</x:v>
      </x:c>
      <x:c r="J246" t="n">
        <x:v>128</x:v>
      </x:c>
      <x:c r="K246" t="n">
        <x:v>54</x:v>
      </x:c>
      <x:c r="L246" t="n">
        <x:v>28</x:v>
      </x:c>
      <x:c r="M246" s="28" t="n">
        <x:v>78608683.83</x:v>
      </x:c>
      <x:c r="N246" s="28" t="n">
        <x:v>138671.32</x:v>
      </x:c>
      <x:c r="O246" s="30" t="n">
        <x:f>IFERROR(I246/H246,0)</x:f>
        <x:v>0.036468238874096615</x:v>
      </x:c>
      <x:c r="P246" s="30" t="n">
        <x:f>IFERROR(J246/I246,0)</x:f>
        <x:v>0.16688396349413298</x:v>
      </x:c>
      <x:c r="Q246" s="30" t="n">
        <x:f>IFERROR(K246/J246,0)</x:f>
        <x:v>0.421875</x:v>
      </x:c>
      <x:c r="R246" s="30" t="n">
        <x:f>IFERROR(L246/K246,0)</x:f>
        <x:v>0.5185185185185185</x:v>
      </x:c>
      <x:c r="S246" s="28" t="n">
        <x:f>IFERROR(N246/J246,0)</x:f>
        <x:v>1083.3696875</x:v>
      </x:c>
      <x:c r="T246" s="28" t="n">
        <x:f>IFERROR(N246/K246,0)</x:f>
        <x:v>2567.9874074074073</x:v>
      </x:c>
      <x:c r="U246" s="28" t="n">
        <x:f>IFERROR(N246/L246,0)</x:f>
        <x:v>4952.547142857143</x:v>
      </x:c>
    </x:row>
    <x:row r="247">
      <x:c r="A247" t="n">
        <x:v>246</x:v>
      </x:c>
      <x:c r="B247" s="26" t="n">
        <x:v>46085</x:v>
      </x:c>
      <x:c r="C247" t="str">
        <x:v>CPO_Acesso_Rapido</x:v>
      </x:c>
      <x:c r="D247" t="str">
        <x:v>SMS</x:v>
      </x:c>
      <x:c r="E247" t="str">
        <x:v>Pequeno Negócio</x:v>
      </x:c>
      <x:c r="F247" t="str">
        <x:v>Huambo</x:v>
      </x:c>
      <x:c r="G247" t="str">
        <x:v>Android</x:v>
      </x:c>
      <x:c r="H247" t="n">
        <x:v>3407</x:v>
      </x:c>
      <x:c r="I247" t="n">
        <x:v>216</x:v>
      </x:c>
      <x:c r="J247" t="n">
        <x:v>26</x:v>
      </x:c>
      <x:c r="K247" t="n">
        <x:v>11</x:v>
      </x:c>
      <x:c r="L247" t="n">
        <x:v>6</x:v>
      </x:c>
      <x:c r="M247" s="28" t="n">
        <x:v>17390834.86</x:v>
      </x:c>
      <x:c r="N247" s="28" t="n">
        <x:v>60441.69</x:v>
      </x:c>
      <x:c r="O247" s="30" t="n">
        <x:f>IFERROR(I247/H247,0)</x:f>
        <x:v>0.06339888464925154</x:v>
      </x:c>
      <x:c r="P247" s="30" t="n">
        <x:f>IFERROR(J247/I247,0)</x:f>
        <x:v>0.12037037037037036</x:v>
      </x:c>
      <x:c r="Q247" s="30" t="n">
        <x:f>IFERROR(K247/J247,0)</x:f>
        <x:v>0.4230769230769231</x:v>
      </x:c>
      <x:c r="R247" s="30" t="n">
        <x:f>IFERROR(L247/K247,0)</x:f>
        <x:v>0.5454545454545454</x:v>
      </x:c>
      <x:c r="S247" s="28" t="n">
        <x:f>IFERROR(N247/J247,0)</x:f>
        <x:v>2324.680384615385</x:v>
      </x:c>
      <x:c r="T247" s="28" t="n">
        <x:f>IFERROR(N247/K247,0)</x:f>
        <x:v>5494.699090909091</x:v>
      </x:c>
      <x:c r="U247" s="28" t="n">
        <x:f>IFERROR(N247/L247,0)</x:f>
        <x:v>10073.615</x:v>
      </x:c>
    </x:row>
    <x:row r="248">
      <x:c r="A248" t="n">
        <x:v>247</x:v>
      </x:c>
      <x:c r="B248" s="26" t="n">
        <x:v>46085</x:v>
      </x:c>
      <x:c r="C248" t="str">
        <x:v>CPO_Premium</x:v>
      </x:c>
      <x:c r="D248" t="str">
        <x:v>Google Ads</x:v>
      </x:c>
      <x:c r="E248" t="str">
        <x:v>Pequeno Negócio</x:v>
      </x:c>
      <x:c r="F248" t="str">
        <x:v>Luanda</x:v>
      </x:c>
      <x:c r="G248" t="str">
        <x:v>Android</x:v>
      </x:c>
      <x:c r="H248" t="n">
        <x:v>24066</x:v>
      </x:c>
      <x:c r="I248" t="n">
        <x:v>862</x:v>
      </x:c>
      <x:c r="J248" t="n">
        <x:v>118</x:v>
      </x:c>
      <x:c r="K248" t="n">
        <x:v>46</x:v>
      </x:c>
      <x:c r="L248" t="n">
        <x:v>21</x:v>
      </x:c>
      <x:c r="M248" s="28" t="n">
        <x:v>63236865.33</x:v>
      </x:c>
      <x:c r="N248" s="28" t="n">
        <x:v>76632.17</x:v>
      </x:c>
      <x:c r="O248" s="30" t="n">
        <x:f>IFERROR(I248/H248,0)</x:f>
        <x:v>0.035818166708219065</x:v>
      </x:c>
      <x:c r="P248" s="30" t="n">
        <x:f>IFERROR(J248/I248,0)</x:f>
        <x:v>0.1368909512761021</x:v>
      </x:c>
      <x:c r="Q248" s="30" t="n">
        <x:f>IFERROR(K248/J248,0)</x:f>
        <x:v>0.3898305084745763</x:v>
      </x:c>
      <x:c r="R248" s="30" t="n">
        <x:f>IFERROR(L248/K248,0)</x:f>
        <x:v>0.45652173913043476</x:v>
      </x:c>
      <x:c r="S248" s="28" t="n">
        <x:f>IFERROR(N248/J248,0)</x:f>
        <x:v>649.4251694915254</x:v>
      </x:c>
      <x:c r="T248" s="28" t="n">
        <x:f>IFERROR(N248/K248,0)</x:f>
        <x:v>1665.9167391304347</x:v>
      </x:c>
      <x:c r="U248" s="28" t="n">
        <x:f>IFERROR(N248/L248,0)</x:f>
        <x:v>3649.1509523809523</x:v>
      </x:c>
    </x:row>
    <x:row r="249">
      <x:c r="A249" t="n">
        <x:v>248</x:v>
      </x:c>
      <x:c r="B249" s="26" t="n">
        <x:v>46085</x:v>
      </x:c>
      <x:c r="C249" t="str">
        <x:v>CPO_Digital_360</x:v>
      </x:c>
      <x:c r="D249" t="str">
        <x:v>BAI Directo/App</x:v>
      </x:c>
      <x:c r="E249" t="str">
        <x:v>Pequeno Negócio</x:v>
      </x:c>
      <x:c r="F249" t="str">
        <x:v>Luanda</x:v>
      </x:c>
      <x:c r="G249" t="str">
        <x:v>Desktop</x:v>
      </x:c>
      <x:c r="H249" t="n">
        <x:v>3182</x:v>
      </x:c>
      <x:c r="I249" t="n">
        <x:v>229</x:v>
      </x:c>
      <x:c r="J249" t="n">
        <x:v>51</x:v>
      </x:c>
      <x:c r="K249" t="n">
        <x:v>21</x:v>
      </x:c>
      <x:c r="L249" t="n">
        <x:v>16</x:v>
      </x:c>
      <x:c r="M249" s="28" t="n">
        <x:v>47502496.07</x:v>
      </x:c>
      <x:c r="N249" s="28" t="n">
        <x:v>28348.22</x:v>
      </x:c>
      <x:c r="O249" s="30" t="n">
        <x:f>IFERROR(I249/H249,0)</x:f>
        <x:v>0.07196731615336266</x:v>
      </x:c>
      <x:c r="P249" s="30" t="n">
        <x:f>IFERROR(J249/I249,0)</x:f>
        <x:v>0.22270742358078602</x:v>
      </x:c>
      <x:c r="Q249" s="30" t="n">
        <x:f>IFERROR(K249/J249,0)</x:f>
        <x:v>0.4117647058823529</x:v>
      </x:c>
      <x:c r="R249" s="30" t="n">
        <x:f>IFERROR(L249/K249,0)</x:f>
        <x:v>0.7619047619047619</x:v>
      </x:c>
      <x:c r="S249" s="28" t="n">
        <x:f>IFERROR(N249/J249,0)</x:f>
        <x:v>555.8474509803922</x:v>
      </x:c>
      <x:c r="T249" s="28" t="n">
        <x:f>IFERROR(N249/K249,0)</x:f>
        <x:v>1349.9152380952382</x:v>
      </x:c>
      <x:c r="U249" s="28" t="n">
        <x:f>IFERROR(N249/L249,0)</x:f>
        <x:v>1771.76375</x:v>
      </x:c>
    </x:row>
    <x:row r="250">
      <x:c r="A250" t="n">
        <x:v>249</x:v>
      </x:c>
      <x:c r="B250" s="26" t="n">
        <x:v>46086</x:v>
      </x:c>
      <x:c r="C250" t="str">
        <x:v>CPO_Salario</x:v>
      </x:c>
      <x:c r="D250" t="str">
        <x:v>SMS</x:v>
      </x:c>
      <x:c r="E250" t="str">
        <x:v>Funcionário Público</x:v>
      </x:c>
      <x:c r="F250" t="str">
        <x:v>Malanje</x:v>
      </x:c>
      <x:c r="G250" t="str">
        <x:v>Android</x:v>
      </x:c>
      <x:c r="H250" t="n">
        <x:v>10337</x:v>
      </x:c>
      <x:c r="I250" t="n">
        <x:v>819</x:v>
      </x:c>
      <x:c r="J250" t="n">
        <x:v>84</x:v>
      </x:c>
      <x:c r="K250" t="n">
        <x:v>56</x:v>
      </x:c>
      <x:c r="L250" t="n">
        <x:v>36</x:v>
      </x:c>
      <x:c r="M250" s="28" t="n">
        <x:v>64786539.41</x:v>
      </x:c>
      <x:c r="N250" s="28" t="n">
        <x:v>117294.18</x:v>
      </x:c>
      <x:c r="O250" s="30" t="n">
        <x:f>IFERROR(I250/H250,0)</x:f>
        <x:v>0.07922995066266808</x:v>
      </x:c>
      <x:c r="P250" s="30" t="n">
        <x:f>IFERROR(J250/I250,0)</x:f>
        <x:v>0.10256410256410256</x:v>
      </x:c>
      <x:c r="Q250" s="30" t="n">
        <x:f>IFERROR(K250/J250,0)</x:f>
        <x:v>0.6666666666666666</x:v>
      </x:c>
      <x:c r="R250" s="30" t="n">
        <x:f>IFERROR(L250/K250,0)</x:f>
        <x:v>0.6428571428571429</x:v>
      </x:c>
      <x:c r="S250" s="28" t="n">
        <x:f>IFERROR(N250/J250,0)</x:f>
        <x:v>1396.3592857142855</x:v>
      </x:c>
      <x:c r="T250" s="28" t="n">
        <x:f>IFERROR(N250/K250,0)</x:f>
        <x:v>2094.5389285714286</x:v>
      </x:c>
      <x:c r="U250" s="28" t="n">
        <x:f>IFERROR(N250/L250,0)</x:f>
        <x:v>3258.1716666666666</x:v>
      </x:c>
    </x:row>
    <x:row r="251">
      <x:c r="A251" t="n">
        <x:v>250</x:v>
      </x:c>
      <x:c r="B251" s="26" t="n">
        <x:v>46086</x:v>
      </x:c>
      <x:c r="C251" t="str">
        <x:v>CPO_Salario</x:v>
      </x:c>
      <x:c r="D251" t="str">
        <x:v>Google Ads</x:v>
      </x:c>
      <x:c r="E251" t="str">
        <x:v>Premium</x:v>
      </x:c>
      <x:c r="F251" t="str">
        <x:v>Benguela</x:v>
      </x:c>
      <x:c r="G251" t="str">
        <x:v>iOS</x:v>
      </x:c>
      <x:c r="H251" t="n">
        <x:v>9092</x:v>
      </x:c>
      <x:c r="I251" t="n">
        <x:v>279</x:v>
      </x:c>
      <x:c r="J251" t="n">
        <x:v>36</x:v>
      </x:c>
      <x:c r="K251" t="n">
        <x:v>22</x:v>
      </x:c>
      <x:c r="L251" t="n">
        <x:v>16</x:v>
      </x:c>
      <x:c r="M251" s="28" t="n">
        <x:v>85279532.92</x:v>
      </x:c>
      <x:c r="N251" s="28" t="n">
        <x:v>20948.39</x:v>
      </x:c>
      <x:c r="O251" s="30" t="n">
        <x:f>IFERROR(I251/H251,0)</x:f>
        <x:v>0.030686317641882975</x:v>
      </x:c>
      <x:c r="P251" s="30" t="n">
        <x:f>IFERROR(J251/I251,0)</x:f>
        <x:v>0.12903225806451613</x:v>
      </x:c>
      <x:c r="Q251" s="30" t="n">
        <x:f>IFERROR(K251/J251,0)</x:f>
        <x:v>0.6111111111111112</x:v>
      </x:c>
      <x:c r="R251" s="30" t="n">
        <x:f>IFERROR(L251/K251,0)</x:f>
        <x:v>0.7272727272727273</x:v>
      </x:c>
      <x:c r="S251" s="28" t="n">
        <x:f>IFERROR(N251/J251,0)</x:f>
        <x:v>581.8997222222222</x:v>
      </x:c>
      <x:c r="T251" s="28" t="n">
        <x:f>IFERROR(N251/K251,0)</x:f>
        <x:v>952.1995454545454</x:v>
      </x:c>
      <x:c r="U251" s="28" t="n">
        <x:f>IFERROR(N251/L251,0)</x:f>
        <x:v>1309.274375</x:v>
      </x:c>
    </x:row>
    <x:row r="252">
      <x:c r="A252" t="n">
        <x:v>251</x:v>
      </x:c>
      <x:c r="B252" s="26" t="n">
        <x:v>46086</x:v>
      </x:c>
      <x:c r="C252" t="str">
        <x:v>CPO_Fim_do_Mes</x:v>
      </x:c>
      <x:c r="D252" t="str">
        <x:v>SMS</x:v>
      </x:c>
      <x:c r="E252" t="str">
        <x:v>Pequeno Negócio</x:v>
      </x:c>
      <x:c r="F252" t="str">
        <x:v>Luanda</x:v>
      </x:c>
      <x:c r="G252" t="str">
        <x:v>Android</x:v>
      </x:c>
      <x:c r="H252" t="n">
        <x:v>3158</x:v>
      </x:c>
      <x:c r="I252" t="n">
        <x:v>289</x:v>
      </x:c>
      <x:c r="J252" t="n">
        <x:v>31</x:v>
      </x:c>
      <x:c r="K252" t="n">
        <x:v>11</x:v>
      </x:c>
      <x:c r="L252" t="n">
        <x:v>4</x:v>
      </x:c>
      <x:c r="M252" s="28" t="n">
        <x:v>10846895.46</x:v>
      </x:c>
      <x:c r="N252" s="28" t="n">
        <x:v>33098</x:v>
      </x:c>
      <x:c r="O252" s="30" t="n">
        <x:f>IFERROR(I252/H252,0)</x:f>
        <x:v>0.0915136162127929</x:v>
      </x:c>
      <x:c r="P252" s="30" t="n">
        <x:f>IFERROR(J252/I252,0)</x:f>
        <x:v>0.10726643598615918</x:v>
      </x:c>
      <x:c r="Q252" s="30" t="n">
        <x:f>IFERROR(K252/J252,0)</x:f>
        <x:v>0.3548387096774194</x:v>
      </x:c>
      <x:c r="R252" s="30" t="n">
        <x:f>IFERROR(L252/K252,0)</x:f>
        <x:v>0.36363636363636365</x:v>
      </x:c>
      <x:c r="S252" s="28" t="n">
        <x:f>IFERROR(N252/J252,0)</x:f>
        <x:v>1067.6774193548388</x:v>
      </x:c>
      <x:c r="T252" s="28" t="n">
        <x:f>IFERROR(N252/K252,0)</x:f>
        <x:v>3008.909090909091</x:v>
      </x:c>
      <x:c r="U252" s="28" t="n">
        <x:f>IFERROR(N252/L252,0)</x:f>
        <x:v>8274.5</x:v>
      </x:c>
    </x:row>
    <x:row r="253">
      <x:c r="A253" t="n">
        <x:v>252</x:v>
      </x:c>
      <x:c r="B253" s="26" t="n">
        <x:v>46086</x:v>
      </x:c>
      <x:c r="C253" t="str">
        <x:v>CPO_Digital_360</x:v>
      </x:c>
      <x:c r="D253" t="str">
        <x:v>Meta Ads</x:v>
      </x:c>
      <x:c r="E253" t="str">
        <x:v>Pequeno Negócio</x:v>
      </x:c>
      <x:c r="F253" t="str">
        <x:v>Benguela</x:v>
      </x:c>
      <x:c r="G253" t="str">
        <x:v>Android</x:v>
      </x:c>
      <x:c r="H253" t="n">
        <x:v>10737</x:v>
      </x:c>
      <x:c r="I253" t="n">
        <x:v>171</x:v>
      </x:c>
      <x:c r="J253" t="n">
        <x:v>21</x:v>
      </x:c>
      <x:c r="K253" t="n">
        <x:v>10</x:v>
      </x:c>
      <x:c r="L253" t="n">
        <x:v>5</x:v>
      </x:c>
      <x:c r="M253" s="28" t="n">
        <x:v>16456544.91</x:v>
      </x:c>
      <x:c r="N253" s="28" t="n">
        <x:v>23034.3</x:v>
      </x:c>
      <x:c r="O253" s="30" t="n">
        <x:f>IFERROR(I253/H253,0)</x:f>
        <x:v>0.01592623637887678</x:v>
      </x:c>
      <x:c r="P253" s="30" t="n">
        <x:f>IFERROR(J253/I253,0)</x:f>
        <x:v>0.12280701754385964</x:v>
      </x:c>
      <x:c r="Q253" s="30" t="n">
        <x:f>IFERROR(K253/J253,0)</x:f>
        <x:v>0.47619047619047616</x:v>
      </x:c>
      <x:c r="R253" s="30" t="n">
        <x:f>IFERROR(L253/K253,0)</x:f>
        <x:v>0.5</x:v>
      </x:c>
      <x:c r="S253" s="28" t="n">
        <x:f>IFERROR(N253/J253,0)</x:f>
        <x:v>1096.8714285714286</x:v>
      </x:c>
      <x:c r="T253" s="28" t="n">
        <x:f>IFERROR(N253/K253,0)</x:f>
        <x:v>2303.43</x:v>
      </x:c>
      <x:c r="U253" s="28" t="n">
        <x:f>IFERROR(N253/L253,0)</x:f>
        <x:v>4606.86</x:v>
      </x:c>
    </x:row>
    <x:row r="254">
      <x:c r="A254" t="n">
        <x:v>253</x:v>
      </x:c>
      <x:c r="B254" s="26" t="n">
        <x:v>46086</x:v>
      </x:c>
      <x:c r="C254" t="str">
        <x:v>CPO_Digital_360</x:v>
      </x:c>
      <x:c r="D254" t="str">
        <x:v>E-mail</x:v>
      </x:c>
      <x:c r="E254" t="str">
        <x:v>Assalariado</x:v>
      </x:c>
      <x:c r="F254" t="str">
        <x:v>Huíla</x:v>
      </x:c>
      <x:c r="G254" t="str">
        <x:v>Desktop</x:v>
      </x:c>
      <x:c r="H254" t="n">
        <x:v>11602</x:v>
      </x:c>
      <x:c r="I254" t="n">
        <x:v>560</x:v>
      </x:c>
      <x:c r="J254" t="n">
        <x:v>65</x:v>
      </x:c>
      <x:c r="K254" t="n">
        <x:v>45</x:v>
      </x:c>
      <x:c r="L254" t="n">
        <x:v>30</x:v>
      </x:c>
      <x:c r="M254" s="28" t="n">
        <x:v>69406905.88</x:v>
      </x:c>
      <x:c r="N254" s="28" t="n">
        <x:v>38537.77</x:v>
      </x:c>
      <x:c r="O254" s="30" t="n">
        <x:f>IFERROR(I254/H254,0)</x:f>
        <x:v>0.04826754007929667</x:v>
      </x:c>
      <x:c r="P254" s="30" t="n">
        <x:f>IFERROR(J254/I254,0)</x:f>
        <x:v>0.11607142857142858</x:v>
      </x:c>
      <x:c r="Q254" s="30" t="n">
        <x:f>IFERROR(K254/J254,0)</x:f>
        <x:v>0.6923076923076923</x:v>
      </x:c>
      <x:c r="R254" s="30" t="n">
        <x:f>IFERROR(L254/K254,0)</x:f>
        <x:v>0.6666666666666666</x:v>
      </x:c>
      <x:c r="S254" s="28" t="n">
        <x:f>IFERROR(N254/J254,0)</x:f>
        <x:v>592.8887692307692</x:v>
      </x:c>
      <x:c r="T254" s="28" t="n">
        <x:f>IFERROR(N254/K254,0)</x:f>
        <x:v>856.3948888888888</x:v>
      </x:c>
      <x:c r="U254" s="28" t="n">
        <x:f>IFERROR(N254/L254,0)</x:f>
        <x:v>1284.5923333333333</x:v>
      </x:c>
    </x:row>
    <x:row r="255">
      <x:c r="A255" t="n">
        <x:v>254</x:v>
      </x:c>
      <x:c r="B255" s="26" t="n">
        <x:v>46087</x:v>
      </x:c>
      <x:c r="C255" t="str">
        <x:v>CPO_Always_On</x:v>
      </x:c>
      <x:c r="D255" t="str">
        <x:v>Meta Ads</x:v>
      </x:c>
      <x:c r="E255" t="str">
        <x:v>Jovem Profissional</x:v>
      </x:c>
      <x:c r="F255" t="str">
        <x:v>Benguela</x:v>
      </x:c>
      <x:c r="G255" t="str">
        <x:v>Desktop</x:v>
      </x:c>
      <x:c r="H255" t="n">
        <x:v>24900</x:v>
      </x:c>
      <x:c r="I255" t="n">
        <x:v>248</x:v>
      </x:c>
      <x:c r="J255" t="n">
        <x:v>27</x:v>
      </x:c>
      <x:c r="K255" t="n">
        <x:v>12</x:v>
      </x:c>
      <x:c r="L255" t="n">
        <x:v>9</x:v>
      </x:c>
      <x:c r="M255" s="28" t="n">
        <x:v>11130941.33</x:v>
      </x:c>
      <x:c r="N255" s="28" t="n">
        <x:v>18123.5</x:v>
      </x:c>
      <x:c r="O255" s="30" t="n">
        <x:f>IFERROR(I255/H255,0)</x:f>
        <x:v>0.00995983935742972</x:v>
      </x:c>
      <x:c r="P255" s="30" t="n">
        <x:f>IFERROR(J255/I255,0)</x:f>
        <x:v>0.10887096774193548</x:v>
      </x:c>
      <x:c r="Q255" s="30" t="n">
        <x:f>IFERROR(K255/J255,0)</x:f>
        <x:v>0.4444444444444444</x:v>
      </x:c>
      <x:c r="R255" s="30" t="n">
        <x:f>IFERROR(L255/K255,0)</x:f>
        <x:v>0.75</x:v>
      </x:c>
      <x:c r="S255" s="28" t="n">
        <x:f>IFERROR(N255/J255,0)</x:f>
        <x:v>671.2407407407408</x:v>
      </x:c>
      <x:c r="T255" s="28" t="n">
        <x:f>IFERROR(N255/K255,0)</x:f>
        <x:v>1510.2916666666667</x:v>
      </x:c>
      <x:c r="U255" s="28" t="n">
        <x:f>IFERROR(N255/L255,0)</x:f>
        <x:v>2013.7222222222222</x:v>
      </x:c>
    </x:row>
    <x:row r="256">
      <x:c r="A256" t="n">
        <x:v>255</x:v>
      </x:c>
      <x:c r="B256" s="26" t="n">
        <x:v>46087</x:v>
      </x:c>
      <x:c r="C256" t="str">
        <x:v>CPO_Acesso_Rapido</x:v>
      </x:c>
      <x:c r="D256" t="str">
        <x:v>SMS</x:v>
      </x:c>
      <x:c r="E256" t="str">
        <x:v>Assalariado</x:v>
      </x:c>
      <x:c r="F256" t="str">
        <x:v>Luanda</x:v>
      </x:c>
      <x:c r="G256" t="str">
        <x:v>Android</x:v>
      </x:c>
      <x:c r="H256" t="n">
        <x:v>4621</x:v>
      </x:c>
      <x:c r="I256" t="n">
        <x:v>269</x:v>
      </x:c>
      <x:c r="J256" t="n">
        <x:v>40</x:v>
      </x:c>
      <x:c r="K256" t="n">
        <x:v>28</x:v>
      </x:c>
      <x:c r="L256" t="n">
        <x:v>16</x:v>
      </x:c>
      <x:c r="M256" s="28" t="n">
        <x:v>37182040.1</x:v>
      </x:c>
      <x:c r="N256" s="28" t="n">
        <x:v>19157.13</x:v>
      </x:c>
      <x:c r="O256" s="30" t="n">
        <x:f>IFERROR(I256/H256,0)</x:f>
        <x:v>0.0582125081151266</x:v>
      </x:c>
      <x:c r="P256" s="30" t="n">
        <x:f>IFERROR(J256/I256,0)</x:f>
        <x:v>0.14869888475836432</x:v>
      </x:c>
      <x:c r="Q256" s="30" t="n">
        <x:f>IFERROR(K256/J256,0)</x:f>
        <x:v>0.7</x:v>
      </x:c>
      <x:c r="R256" s="30" t="n">
        <x:f>IFERROR(L256/K256,0)</x:f>
        <x:v>0.5714285714285714</x:v>
      </x:c>
      <x:c r="S256" s="28" t="n">
        <x:f>IFERROR(N256/J256,0)</x:f>
        <x:v>478.92825000000005</x:v>
      </x:c>
      <x:c r="T256" s="28" t="n">
        <x:f>IFERROR(N256/K256,0)</x:f>
        <x:v>684.1832142857144</x:v>
      </x:c>
      <x:c r="U256" s="28" t="n">
        <x:f>IFERROR(N256/L256,0)</x:f>
        <x:v>1197.320625</x:v>
      </x:c>
    </x:row>
    <x:row r="257">
      <x:c r="A257" t="n">
        <x:v>256</x:v>
      </x:c>
      <x:c r="B257" s="26" t="n">
        <x:v>46087</x:v>
      </x:c>
      <x:c r="C257" t="str">
        <x:v>CPO_Digital_360</x:v>
      </x:c>
      <x:c r="D257" t="str">
        <x:v>E-mail</x:v>
      </x:c>
      <x:c r="E257" t="str">
        <x:v>Jovem Profissional</x:v>
      </x:c>
      <x:c r="F257" t="str">
        <x:v>Benguela</x:v>
      </x:c>
      <x:c r="G257" t="str">
        <x:v>iOS</x:v>
      </x:c>
      <x:c r="H257" t="n">
        <x:v>4509</x:v>
      </x:c>
      <x:c r="I257" t="n">
        <x:v>205</x:v>
      </x:c>
      <x:c r="J257" t="n">
        <x:v>22</x:v>
      </x:c>
      <x:c r="K257" t="n">
        <x:v>11</x:v>
      </x:c>
      <x:c r="L257" t="n">
        <x:v>7</x:v>
      </x:c>
      <x:c r="M257" s="28" t="n">
        <x:v>8658279.17</x:v>
      </x:c>
      <x:c r="N257" s="28" t="n">
        <x:v>77818.36</x:v>
      </x:c>
      <x:c r="O257" s="30" t="n">
        <x:f>IFERROR(I257/H257,0)</x:f>
        <x:v>0.04546462630294966</x:v>
      </x:c>
      <x:c r="P257" s="30" t="n">
        <x:f>IFERROR(J257/I257,0)</x:f>
        <x:v>0.1073170731707317</x:v>
      </x:c>
      <x:c r="Q257" s="30" t="n">
        <x:f>IFERROR(K257/J257,0)</x:f>
        <x:v>0.5</x:v>
      </x:c>
      <x:c r="R257" s="30" t="n">
        <x:f>IFERROR(L257/K257,0)</x:f>
        <x:v>0.6363636363636364</x:v>
      </x:c>
      <x:c r="S257" s="28" t="n">
        <x:f>IFERROR(N257/J257,0)</x:f>
        <x:v>3537.1981818181816</x:v>
      </x:c>
      <x:c r="T257" s="28" t="n">
        <x:f>IFERROR(N257/K257,0)</x:f>
        <x:v>7074.396363636363</x:v>
      </x:c>
      <x:c r="U257" s="28" t="n">
        <x:f>IFERROR(N257/L257,0)</x:f>
        <x:v>11116.908571428572</x:v>
      </x:c>
    </x:row>
    <x:row r="258">
      <x:c r="A258" t="n">
        <x:v>257</x:v>
      </x:c>
      <x:c r="B258" s="26" t="n">
        <x:v>46088</x:v>
      </x:c>
      <x:c r="C258" t="str">
        <x:v>CPO_Fim_do_Mes</x:v>
      </x:c>
      <x:c r="D258" t="str">
        <x:v>TikTok Ads</x:v>
      </x:c>
      <x:c r="E258" t="str">
        <x:v>Assalariado</x:v>
      </x:c>
      <x:c r="F258" t="str">
        <x:v>Luanda</x:v>
      </x:c>
      <x:c r="G258" t="str">
        <x:v>Android</x:v>
      </x:c>
      <x:c r="H258" t="n">
        <x:v>10054</x:v>
      </x:c>
      <x:c r="I258" t="n">
        <x:v>179</x:v>
      </x:c>
      <x:c r="J258" t="n">
        <x:v>13</x:v>
      </x:c>
      <x:c r="K258" t="n">
        <x:v>10</x:v>
      </x:c>
      <x:c r="L258" t="n">
        <x:v>8</x:v>
      </x:c>
      <x:c r="M258" s="28" t="n">
        <x:v>18822647.66</x:v>
      </x:c>
      <x:c r="N258" s="28" t="n">
        <x:v>15070.6</x:v>
      </x:c>
      <x:c r="O258" s="30" t="n">
        <x:f>IFERROR(I258/H258,0)</x:f>
        <x:v>0.01780385916053312</x:v>
      </x:c>
      <x:c r="P258" s="30" t="n">
        <x:f>IFERROR(J258/I258,0)</x:f>
        <x:v>0.07262569832402235</x:v>
      </x:c>
      <x:c r="Q258" s="30" t="n">
        <x:f>IFERROR(K258/J258,0)</x:f>
        <x:v>0.7692307692307693</x:v>
      </x:c>
      <x:c r="R258" s="30" t="n">
        <x:f>IFERROR(L258/K258,0)</x:f>
        <x:v>0.8</x:v>
      </x:c>
      <x:c r="S258" s="28" t="n">
        <x:f>IFERROR(N258/J258,0)</x:f>
        <x:v>1159.2769230769231</x:v>
      </x:c>
      <x:c r="T258" s="28" t="n">
        <x:f>IFERROR(N258/K258,0)</x:f>
        <x:v>1507.06</x:v>
      </x:c>
      <x:c r="U258" s="28" t="n">
        <x:f>IFERROR(N258/L258,0)</x:f>
        <x:v>1883.825</x:v>
      </x:c>
    </x:row>
    <x:row r="259">
      <x:c r="A259" t="n">
        <x:v>258</x:v>
      </x:c>
      <x:c r="B259" s="26" t="n">
        <x:v>46088</x:v>
      </x:c>
      <x:c r="C259" t="str">
        <x:v>CPO_Acesso_Rapido</x:v>
      </x:c>
      <x:c r="D259" t="str">
        <x:v>E-mail</x:v>
      </x:c>
      <x:c r="E259" t="str">
        <x:v>Funcionário Público</x:v>
      </x:c>
      <x:c r="F259" t="str">
        <x:v>Luanda</x:v>
      </x:c>
      <x:c r="G259" t="str">
        <x:v>Desktop</x:v>
      </x:c>
      <x:c r="H259" t="n">
        <x:v>5472</x:v>
      </x:c>
      <x:c r="I259" t="n">
        <x:v>318</x:v>
      </x:c>
      <x:c r="J259" t="n">
        <x:v>35</x:v>
      </x:c>
      <x:c r="K259" t="n">
        <x:v>23</x:v>
      </x:c>
      <x:c r="L259" t="n">
        <x:v>18</x:v>
      </x:c>
      <x:c r="M259" s="28" t="n">
        <x:v>32848544.81</x:v>
      </x:c>
      <x:c r="N259" s="28" t="n">
        <x:v>67431.23</x:v>
      </x:c>
      <x:c r="O259" s="30" t="n">
        <x:f>IFERROR(I259/H259,0)</x:f>
        <x:v>0.0581140350877193</x:v>
      </x:c>
      <x:c r="P259" s="30" t="n">
        <x:f>IFERROR(J259/I259,0)</x:f>
        <x:v>0.11006289308176101</x:v>
      </x:c>
      <x:c r="Q259" s="30" t="n">
        <x:f>IFERROR(K259/J259,0)</x:f>
        <x:v>0.6571428571428571</x:v>
      </x:c>
      <x:c r="R259" s="30" t="n">
        <x:f>IFERROR(L259/K259,0)</x:f>
        <x:v>0.782608695652174</x:v>
      </x:c>
      <x:c r="S259" s="28" t="n">
        <x:f>IFERROR(N259/J259,0)</x:f>
        <x:v>1926.6065714285712</x:v>
      </x:c>
      <x:c r="T259" s="28" t="n">
        <x:f>IFERROR(N259/K259,0)</x:f>
        <x:v>2931.792608695652</x:v>
      </x:c>
      <x:c r="U259" s="28" t="n">
        <x:f>IFERROR(N259/L259,0)</x:f>
        <x:v>3746.179444444444</x:v>
      </x:c>
    </x:row>
    <x:row r="260">
      <x:c r="A260" t="n">
        <x:v>259</x:v>
      </x:c>
      <x:c r="B260" s="26" t="n">
        <x:v>46088</x:v>
      </x:c>
      <x:c r="C260" t="str">
        <x:v>CPO_Always_On</x:v>
      </x:c>
      <x:c r="D260" t="str">
        <x:v>SMS</x:v>
      </x:c>
      <x:c r="E260" t="str">
        <x:v>Assalariado</x:v>
      </x:c>
      <x:c r="F260" t="str">
        <x:v>Cabinda</x:v>
      </x:c>
      <x:c r="G260" t="str">
        <x:v>Android</x:v>
      </x:c>
      <x:c r="H260" t="n">
        <x:v>5609</x:v>
      </x:c>
      <x:c r="I260" t="n">
        <x:v>506</x:v>
      </x:c>
      <x:c r="J260" t="n">
        <x:v>83</x:v>
      </x:c>
      <x:c r="K260" t="n">
        <x:v>46</x:v>
      </x:c>
      <x:c r="L260" t="n">
        <x:v>26</x:v>
      </x:c>
      <x:c r="M260" s="28" t="n">
        <x:v>52172848.3</x:v>
      </x:c>
      <x:c r="N260" s="28" t="n">
        <x:v>55758.31</x:v>
      </x:c>
      <x:c r="O260" s="30" t="n">
        <x:f>IFERROR(I260/H260,0)</x:f>
        <x:v>0.09021215903013015</x:v>
      </x:c>
      <x:c r="P260" s="30" t="n">
        <x:f>IFERROR(J260/I260,0)</x:f>
        <x:v>0.16403162055335968</x:v>
      </x:c>
      <x:c r="Q260" s="30" t="n">
        <x:f>IFERROR(K260/J260,0)</x:f>
        <x:v>0.5542168674698795</x:v>
      </x:c>
      <x:c r="R260" s="30" t="n">
        <x:f>IFERROR(L260/K260,0)</x:f>
        <x:v>0.5652173913043478</x:v>
      </x:c>
      <x:c r="S260" s="28" t="n">
        <x:f>IFERROR(N260/J260,0)</x:f>
        <x:v>671.7868674698794</x:v>
      </x:c>
      <x:c r="T260" s="28" t="n">
        <x:f>IFERROR(N260/K260,0)</x:f>
        <x:v>1212.1371739130434</x:v>
      </x:c>
      <x:c r="U260" s="28" t="n">
        <x:f>IFERROR(N260/L260,0)</x:f>
        <x:v>2144.5503846153847</x:v>
      </x:c>
    </x:row>
    <x:row r="261">
      <x:c r="A261" t="n">
        <x:v>260</x:v>
      </x:c>
      <x:c r="B261" s="26" t="n">
        <x:v>46088</x:v>
      </x:c>
      <x:c r="C261" t="str">
        <x:v>CPO_Premium</x:v>
      </x:c>
      <x:c r="D261" t="str">
        <x:v>SMS</x:v>
      </x:c>
      <x:c r="E261" t="str">
        <x:v>Assalariado</x:v>
      </x:c>
      <x:c r="F261" t="str">
        <x:v>Benguela</x:v>
      </x:c>
      <x:c r="G261" t="str">
        <x:v>Desktop</x:v>
      </x:c>
      <x:c r="H261" t="n">
        <x:v>11348</x:v>
      </x:c>
      <x:c r="I261" t="n">
        <x:v>1097</x:v>
      </x:c>
      <x:c r="J261" t="n">
        <x:v>153</x:v>
      </x:c>
      <x:c r="K261" t="n">
        <x:v>98</x:v>
      </x:c>
      <x:c r="L261" t="n">
        <x:v>85</x:v>
      </x:c>
      <x:c r="M261" s="28" t="n">
        <x:v>193078236.25</x:v>
      </x:c>
      <x:c r="N261" s="28" t="n">
        <x:v>83929.58</x:v>
      </x:c>
      <x:c r="O261" s="30" t="n">
        <x:f>IFERROR(I261/H261,0)</x:f>
        <x:v>0.09666901656679591</x:v>
      </x:c>
      <x:c r="P261" s="30" t="n">
        <x:f>IFERROR(J261/I261,0)</x:f>
        <x:v>0.13947128532360983</x:v>
      </x:c>
      <x:c r="Q261" s="30" t="n">
        <x:f>IFERROR(K261/J261,0)</x:f>
        <x:v>0.6405228758169934</x:v>
      </x:c>
      <x:c r="R261" s="30" t="n">
        <x:f>IFERROR(L261/K261,0)</x:f>
        <x:v>0.8673469387755102</x:v>
      </x:c>
      <x:c r="S261" s="28" t="n">
        <x:f>IFERROR(N261/J261,0)</x:f>
        <x:v>548.5593464052288</x:v>
      </x:c>
      <x:c r="T261" s="28" t="n">
        <x:f>IFERROR(N261/K261,0)</x:f>
        <x:v>856.4242857142857</x:v>
      </x:c>
      <x:c r="U261" s="28" t="n">
        <x:f>IFERROR(N261/L261,0)</x:f>
        <x:v>987.4068235294118</x:v>
      </x:c>
    </x:row>
    <x:row r="262">
      <x:c r="A262" t="n">
        <x:v>261</x:v>
      </x:c>
      <x:c r="B262" s="26" t="n">
        <x:v>46089</x:v>
      </x:c>
      <x:c r="C262" t="str">
        <x:v>CPO_Salario</x:v>
      </x:c>
      <x:c r="D262" t="str">
        <x:v>TikTok Ads</x:v>
      </x:c>
      <x:c r="E262" t="str">
        <x:v>Jovem Profissional</x:v>
      </x:c>
      <x:c r="F262" t="str">
        <x:v>Cabinda</x:v>
      </x:c>
      <x:c r="G262" t="str">
        <x:v>Desktop</x:v>
      </x:c>
      <x:c r="H262" t="n">
        <x:v>17436</x:v>
      </x:c>
      <x:c r="I262" t="n">
        <x:v>200</x:v>
      </x:c>
      <x:c r="J262" t="n">
        <x:v>23</x:v>
      </x:c>
      <x:c r="K262" t="n">
        <x:v>12</x:v>
      </x:c>
      <x:c r="L262" t="n">
        <x:v>6</x:v>
      </x:c>
      <x:c r="M262" s="28" t="n">
        <x:v>9356004.87</x:v>
      </x:c>
      <x:c r="N262" s="28" t="n">
        <x:v>23040.48</x:v>
      </x:c>
      <x:c r="O262" s="30" t="n">
        <x:f>IFERROR(I262/H262,0)</x:f>
        <x:v>0.011470520761642579</x:v>
      </x:c>
      <x:c r="P262" s="30" t="n">
        <x:f>IFERROR(J262/I262,0)</x:f>
        <x:v>0.115</x:v>
      </x:c>
      <x:c r="Q262" s="30" t="n">
        <x:f>IFERROR(K262/J262,0)</x:f>
        <x:v>0.5217391304347826</x:v>
      </x:c>
      <x:c r="R262" s="30" t="n">
        <x:f>IFERROR(L262/K262,0)</x:f>
        <x:v>0.5</x:v>
      </x:c>
      <x:c r="S262" s="28" t="n">
        <x:f>IFERROR(N262/J262,0)</x:f>
        <x:v>1001.76</x:v>
      </x:c>
      <x:c r="T262" s="28" t="n">
        <x:f>IFERROR(N262/K262,0)</x:f>
        <x:v>1920.04</x:v>
      </x:c>
      <x:c r="U262" s="28" t="n">
        <x:f>IFERROR(N262/L262,0)</x:f>
        <x:v>3840.08</x:v>
      </x:c>
    </x:row>
    <x:row r="263">
      <x:c r="A263" t="n">
        <x:v>262</x:v>
      </x:c>
      <x:c r="B263" s="26" t="n">
        <x:v>46089</x:v>
      </x:c>
      <x:c r="C263" t="str">
        <x:v>CPO_Salario</x:v>
      </x:c>
      <x:c r="D263" t="str">
        <x:v>Google Ads</x:v>
      </x:c>
      <x:c r="E263" t="str">
        <x:v>Funcionário Público</x:v>
      </x:c>
      <x:c r="F263" t="str">
        <x:v>Cabinda</x:v>
      </x:c>
      <x:c r="G263" t="str">
        <x:v>Android</x:v>
      </x:c>
      <x:c r="H263" t="n">
        <x:v>20116</x:v>
      </x:c>
      <x:c r="I263" t="n">
        <x:v>633</x:v>
      </x:c>
      <x:c r="J263" t="n">
        <x:v>141</x:v>
      </x:c>
      <x:c r="K263" t="n">
        <x:v>92</x:v>
      </x:c>
      <x:c r="L263" t="n">
        <x:v>54</x:v>
      </x:c>
      <x:c r="M263" s="28" t="n">
        <x:v>93953297.73</x:v>
      </x:c>
      <x:c r="N263" s="28" t="n">
        <x:v>90339.56</x:v>
      </x:c>
      <x:c r="O263" s="30" t="n">
        <x:f>IFERROR(I263/H263,0)</x:f>
        <x:v>0.03146748856631537</x:v>
      </x:c>
      <x:c r="P263" s="30" t="n">
        <x:f>IFERROR(J263/I263,0)</x:f>
        <x:v>0.22274881516587677</x:v>
      </x:c>
      <x:c r="Q263" s="30" t="n">
        <x:f>IFERROR(K263/J263,0)</x:f>
        <x:v>0.6524822695035462</x:v>
      </x:c>
      <x:c r="R263" s="30" t="n">
        <x:f>IFERROR(L263/K263,0)</x:f>
        <x:v>0.5869565217391305</x:v>
      </x:c>
      <x:c r="S263" s="28" t="n">
        <x:f>IFERROR(N263/J263,0)</x:f>
        <x:v>640.7060992907801</x:v>
      </x:c>
      <x:c r="T263" s="28" t="n">
        <x:f>IFERROR(N263/K263,0)</x:f>
        <x:v>981.9517391304347</x:v>
      </x:c>
      <x:c r="U263" s="28" t="n">
        <x:f>IFERROR(N263/L263,0)</x:f>
        <x:v>1672.9548148148149</x:v>
      </x:c>
    </x:row>
    <x:row r="264">
      <x:c r="A264" t="n">
        <x:v>263</x:v>
      </x:c>
      <x:c r="B264" s="26" t="n">
        <x:v>46089</x:v>
      </x:c>
      <x:c r="C264" t="str">
        <x:v>CPO_Always_On</x:v>
      </x:c>
      <x:c r="D264" t="str">
        <x:v>SMS</x:v>
      </x:c>
      <x:c r="E264" t="str">
        <x:v>Funcionário Público</x:v>
      </x:c>
      <x:c r="F264" t="str">
        <x:v>Luanda</x:v>
      </x:c>
      <x:c r="G264" t="str">
        <x:v>Android</x:v>
      </x:c>
      <x:c r="H264" t="n">
        <x:v>10535</x:v>
      </x:c>
      <x:c r="I264" t="n">
        <x:v>833</x:v>
      </x:c>
      <x:c r="J264" t="n">
        <x:v>141</x:v>
      </x:c>
      <x:c r="K264" t="n">
        <x:v>100</x:v>
      </x:c>
      <x:c r="L264" t="n">
        <x:v>80</x:v>
      </x:c>
      <x:c r="M264" s="28" t="n">
        <x:v>145915584.96</x:v>
      </x:c>
      <x:c r="N264" s="28" t="n">
        <x:v>70465.52</x:v>
      </x:c>
      <x:c r="O264" s="30" t="n">
        <x:f>IFERROR(I264/H264,0)</x:f>
        <x:v>0.07906976744186046</x:v>
      </x:c>
      <x:c r="P264" s="30" t="n">
        <x:f>IFERROR(J264/I264,0)</x:f>
        <x:v>0.16926770708283315</x:v>
      </x:c>
      <x:c r="Q264" s="30" t="n">
        <x:f>IFERROR(K264/J264,0)</x:f>
        <x:v>0.7092198581560284</x:v>
      </x:c>
      <x:c r="R264" s="30" t="n">
        <x:f>IFERROR(L264/K264,0)</x:f>
        <x:v>0.8</x:v>
      </x:c>
      <x:c r="S264" s="28" t="n">
        <x:f>IFERROR(N264/J264,0)</x:f>
        <x:v>499.75546099290784</x:v>
      </x:c>
      <x:c r="T264" s="28" t="n">
        <x:f>IFERROR(N264/K264,0)</x:f>
        <x:v>704.6552</x:v>
      </x:c>
      <x:c r="U264" s="28" t="n">
        <x:f>IFERROR(N264/L264,0)</x:f>
        <x:v>880.8190000000001</x:v>
      </x:c>
    </x:row>
    <x:row r="265">
      <x:c r="A265" t="n">
        <x:v>264</x:v>
      </x:c>
      <x:c r="B265" s="26" t="n">
        <x:v>46090</x:v>
      </x:c>
      <x:c r="C265" t="str">
        <x:v>CPO_Salario</x:v>
      </x:c>
      <x:c r="D265" t="str">
        <x:v>SMS</x:v>
      </x:c>
      <x:c r="E265" t="str">
        <x:v>Jovem Profissional</x:v>
      </x:c>
      <x:c r="F265" t="str">
        <x:v>Huambo</x:v>
      </x:c>
      <x:c r="G265" t="str">
        <x:v>Android</x:v>
      </x:c>
      <x:c r="H265" t="n">
        <x:v>8838</x:v>
      </x:c>
      <x:c r="I265" t="n">
        <x:v>856</x:v>
      </x:c>
      <x:c r="J265" t="n">
        <x:v>81</x:v>
      </x:c>
      <x:c r="K265" t="n">
        <x:v>43</x:v>
      </x:c>
      <x:c r="L265" t="n">
        <x:v>27</x:v>
      </x:c>
      <x:c r="M265" s="28" t="n">
        <x:v>34994708.22</x:v>
      </x:c>
      <x:c r="N265" s="28" t="n">
        <x:v>126599.19</x:v>
      </x:c>
      <x:c r="O265" s="30" t="n">
        <x:f>IFERROR(I265/H265,0)</x:f>
        <x:v>0.09685449196650826</x:v>
      </x:c>
      <x:c r="P265" s="30" t="n">
        <x:f>IFERROR(J265/I265,0)</x:f>
        <x:v>0.09462616822429906</x:v>
      </x:c>
      <x:c r="Q265" s="30" t="n">
        <x:f>IFERROR(K265/J265,0)</x:f>
        <x:v>0.5308641975308642</x:v>
      </x:c>
      <x:c r="R265" s="30" t="n">
        <x:f>IFERROR(L265/K265,0)</x:f>
        <x:v>0.627906976744186</x:v>
      </x:c>
      <x:c r="S265" s="28" t="n">
        <x:f>IFERROR(N265/J265,0)</x:f>
        <x:v>1562.952962962963</x:v>
      </x:c>
      <x:c r="T265" s="28" t="n">
        <x:f>IFERROR(N265/K265,0)</x:f>
        <x:v>2944.167209302326</x:v>
      </x:c>
      <x:c r="U265" s="28" t="n">
        <x:f>IFERROR(N265/L265,0)</x:f>
        <x:v>4688.858888888889</x:v>
      </x:c>
    </x:row>
    <x:row r="266">
      <x:c r="A266" t="n">
        <x:v>265</x:v>
      </x:c>
      <x:c r="B266" s="26" t="n">
        <x:v>46090</x:v>
      </x:c>
      <x:c r="C266" t="str">
        <x:v>CPO_Always_On</x:v>
      </x:c>
      <x:c r="D266" t="str">
        <x:v>TikTok Ads</x:v>
      </x:c>
      <x:c r="E266" t="str">
        <x:v>Funcionário Público</x:v>
      </x:c>
      <x:c r="F266" t="str">
        <x:v>Malanje</x:v>
      </x:c>
      <x:c r="G266" t="str">
        <x:v>Android</x:v>
      </x:c>
      <x:c r="H266" t="n">
        <x:v>16421</x:v>
      </x:c>
      <x:c r="I266" t="n">
        <x:v>319</x:v>
      </x:c>
      <x:c r="J266" t="n">
        <x:v>29</x:v>
      </x:c>
      <x:c r="K266" t="n">
        <x:v>22</x:v>
      </x:c>
      <x:c r="L266" t="n">
        <x:v>15</x:v>
      </x:c>
      <x:c r="M266" s="28" t="n">
        <x:v>26923237.29</x:v>
      </x:c>
      <x:c r="N266" s="28" t="n">
        <x:v>26455.55</x:v>
      </x:c>
      <x:c r="O266" s="30" t="n">
        <x:f>IFERROR(I266/H266,0)</x:f>
        <x:v>0.019426344315206137</x:v>
      </x:c>
      <x:c r="P266" s="30" t="n">
        <x:f>IFERROR(J266/I266,0)</x:f>
        <x:v>0.09090909090909091</x:v>
      </x:c>
      <x:c r="Q266" s="30" t="n">
        <x:f>IFERROR(K266/J266,0)</x:f>
        <x:v>0.7586206896551724</x:v>
      </x:c>
      <x:c r="R266" s="30" t="n">
        <x:f>IFERROR(L266/K266,0)</x:f>
        <x:v>0.6818181818181818</x:v>
      </x:c>
      <x:c r="S266" s="28" t="n">
        <x:f>IFERROR(N266/J266,0)</x:f>
        <x:v>912.2603448275862</x:v>
      </x:c>
      <x:c r="T266" s="28" t="n">
        <x:f>IFERROR(N266/K266,0)</x:f>
        <x:v>1202.5249999999999</x:v>
      </x:c>
      <x:c r="U266" s="28" t="n">
        <x:f>IFERROR(N266/L266,0)</x:f>
        <x:v>1763.7033333333334</x:v>
      </x:c>
    </x:row>
    <x:row r="267">
      <x:c r="A267" t="n">
        <x:v>266</x:v>
      </x:c>
      <x:c r="B267" s="26" t="n">
        <x:v>46090</x:v>
      </x:c>
      <x:c r="C267" t="str">
        <x:v>CPO_Premium</x:v>
      </x:c>
      <x:c r="D267" t="str">
        <x:v>TikTok Ads</x:v>
      </x:c>
      <x:c r="E267" t="str">
        <x:v>Funcionário Público</x:v>
      </x:c>
      <x:c r="F267" t="str">
        <x:v>Luanda</x:v>
      </x:c>
      <x:c r="G267" t="str">
        <x:v>Android</x:v>
      </x:c>
      <x:c r="H267" t="n">
        <x:v>11042</x:v>
      </x:c>
      <x:c r="I267" t="n">
        <x:v>190</x:v>
      </x:c>
      <x:c r="J267" t="n">
        <x:v>14</x:v>
      </x:c>
      <x:c r="K267" t="n">
        <x:v>10</x:v>
      </x:c>
      <x:c r="L267" t="n">
        <x:v>6</x:v>
      </x:c>
      <x:c r="M267" s="28" t="n">
        <x:v>10861301.83</x:v>
      </x:c>
      <x:c r="N267" s="28" t="n">
        <x:v>25776.64</x:v>
      </x:c>
      <x:c r="O267" s="30" t="n">
        <x:f>IFERROR(I267/H267,0)</x:f>
        <x:v>0.017207027712370947</x:v>
      </x:c>
      <x:c r="P267" s="30" t="n">
        <x:f>IFERROR(J267/I267,0)</x:f>
        <x:v>0.07368421052631578</x:v>
      </x:c>
      <x:c r="Q267" s="30" t="n">
        <x:f>IFERROR(K267/J267,0)</x:f>
        <x:v>0.7142857142857143</x:v>
      </x:c>
      <x:c r="R267" s="30" t="n">
        <x:f>IFERROR(L267/K267,0)</x:f>
        <x:v>0.6</x:v>
      </x:c>
      <x:c r="S267" s="28" t="n">
        <x:f>IFERROR(N267/J267,0)</x:f>
        <x:v>1841.1885714285713</x:v>
      </x:c>
      <x:c r="T267" s="28" t="n">
        <x:f>IFERROR(N267/K267,0)</x:f>
        <x:v>2577.6639999999998</x:v>
      </x:c>
      <x:c r="U267" s="28" t="n">
        <x:f>IFERROR(N267/L267,0)</x:f>
        <x:v>4296.106666666667</x:v>
      </x:c>
    </x:row>
    <x:row r="268">
      <x:c r="A268" t="n">
        <x:v>267</x:v>
      </x:c>
      <x:c r="B268" s="26" t="n">
        <x:v>46090</x:v>
      </x:c>
      <x:c r="C268" t="str">
        <x:v>CPO_Acesso_Rapido</x:v>
      </x:c>
      <x:c r="D268" t="str">
        <x:v>E-mail</x:v>
      </x:c>
      <x:c r="E268" t="str">
        <x:v>Pequeno Negócio</x:v>
      </x:c>
      <x:c r="F268" t="str">
        <x:v>Luanda</x:v>
      </x:c>
      <x:c r="G268" t="str">
        <x:v>Android</x:v>
      </x:c>
      <x:c r="H268" t="n">
        <x:v>1245</x:v>
      </x:c>
      <x:c r="I268" t="n">
        <x:v>71</x:v>
      </x:c>
      <x:c r="J268" t="n">
        <x:v>7</x:v>
      </x:c>
      <x:c r="K268" t="n">
        <x:v>3</x:v>
      </x:c>
      <x:c r="L268" t="n">
        <x:v>1</x:v>
      </x:c>
      <x:c r="M268" s="28" t="n">
        <x:v>3128658.17</x:v>
      </x:c>
      <x:c r="N268" s="28" t="n">
        <x:v>15965.85</x:v>
      </x:c>
      <x:c r="O268" s="30" t="n">
        <x:f>IFERROR(I268/H268,0)</x:f>
        <x:v>0.0570281124497992</x:v>
      </x:c>
      <x:c r="P268" s="30" t="n">
        <x:f>IFERROR(J268/I268,0)</x:f>
        <x:v>0.09859154929577464</x:v>
      </x:c>
      <x:c r="Q268" s="30" t="n">
        <x:f>IFERROR(K268/J268,0)</x:f>
        <x:v>0.42857142857142855</x:v>
      </x:c>
      <x:c r="R268" s="30" t="n">
        <x:f>IFERROR(L268/K268,0)</x:f>
        <x:v>0.3333333333333333</x:v>
      </x:c>
      <x:c r="S268" s="28" t="n">
        <x:f>IFERROR(N268/J268,0)</x:f>
        <x:v>2280.8357142857144</x:v>
      </x:c>
      <x:c r="T268" s="28" t="n">
        <x:f>IFERROR(N268/K268,0)</x:f>
        <x:v>5321.95</x:v>
      </x:c>
      <x:c r="U268" s="28" t="n">
        <x:f>IFERROR(N268/L268,0)</x:f>
        <x:v>15965.85</x:v>
      </x:c>
    </x:row>
    <x:row r="269">
      <x:c r="A269" t="n">
        <x:v>268</x:v>
      </x:c>
      <x:c r="B269" s="26" t="n">
        <x:v>46090</x:v>
      </x:c>
      <x:c r="C269" t="str">
        <x:v>CPO_Salario</x:v>
      </x:c>
      <x:c r="D269" t="str">
        <x:v>E-mail</x:v>
      </x:c>
      <x:c r="E269" t="str">
        <x:v>Jovem Profissional</x:v>
      </x:c>
      <x:c r="F269" t="str">
        <x:v>Luanda</x:v>
      </x:c>
      <x:c r="G269" t="str">
        <x:v>Android</x:v>
      </x:c>
      <x:c r="H269" t="n">
        <x:v>9676</x:v>
      </x:c>
      <x:c r="I269" t="n">
        <x:v>384</x:v>
      </x:c>
      <x:c r="J269" t="n">
        <x:v>30</x:v>
      </x:c>
      <x:c r="K269" t="n">
        <x:v>18</x:v>
      </x:c>
      <x:c r="L269" t="n">
        <x:v>10</x:v>
      </x:c>
      <x:c r="M269" s="28" t="n">
        <x:v>12484490.78</x:v>
      </x:c>
      <x:c r="N269" s="28" t="n">
        <x:v>35165.27</x:v>
      </x:c>
      <x:c r="O269" s="30" t="n">
        <x:f>IFERROR(I269/H269,0)</x:f>
        <x:v>0.03968582058701943</x:v>
      </x:c>
      <x:c r="P269" s="30" t="n">
        <x:f>IFERROR(J269/I269,0)</x:f>
        <x:v>0.078125</x:v>
      </x:c>
      <x:c r="Q269" s="30" t="n">
        <x:f>IFERROR(K269/J269,0)</x:f>
        <x:v>0.6</x:v>
      </x:c>
      <x:c r="R269" s="30" t="n">
        <x:f>IFERROR(L269/K269,0)</x:f>
        <x:v>0.5555555555555556</x:v>
      </x:c>
      <x:c r="S269" s="28" t="n">
        <x:f>IFERROR(N269/J269,0)</x:f>
        <x:v>1172.1756666666665</x:v>
      </x:c>
      <x:c r="T269" s="28" t="n">
        <x:f>IFERROR(N269/K269,0)</x:f>
        <x:v>1953.626111111111</x:v>
      </x:c>
      <x:c r="U269" s="28" t="n">
        <x:f>IFERROR(N269/L269,0)</x:f>
        <x:v>3516.5269999999996</x:v>
      </x:c>
    </x:row>
    <x:row r="270">
      <x:c r="A270" t="n">
        <x:v>269</x:v>
      </x:c>
      <x:c r="B270" s="26" t="n">
        <x:v>46091</x:v>
      </x:c>
      <x:c r="C270" t="str">
        <x:v>CPO_Salario</x:v>
      </x:c>
      <x:c r="D270" t="str">
        <x:v>TikTok Ads</x:v>
      </x:c>
      <x:c r="E270" t="str">
        <x:v>Assalariado</x:v>
      </x:c>
      <x:c r="F270" t="str">
        <x:v>Luanda</x:v>
      </x:c>
      <x:c r="G270" t="str">
        <x:v>iOS</x:v>
      </x:c>
      <x:c r="H270" t="n">
        <x:v>3606</x:v>
      </x:c>
      <x:c r="I270" t="n">
        <x:v>54</x:v>
      </x:c>
      <x:c r="J270" t="n">
        <x:v>4</x:v>
      </x:c>
      <x:c r="K270" t="n">
        <x:v>3</x:v>
      </x:c>
      <x:c r="L270" t="n">
        <x:v>2</x:v>
      </x:c>
      <x:c r="M270" s="28" t="n">
        <x:v>4181240.57</x:v>
      </x:c>
      <x:c r="N270" s="28" t="n">
        <x:v>4544.09</x:v>
      </x:c>
      <x:c r="O270" s="30" t="n">
        <x:f>IFERROR(I270/H270,0)</x:f>
        <x:v>0.014975041597337771</x:v>
      </x:c>
      <x:c r="P270" s="30" t="n">
        <x:f>IFERROR(J270/I270,0)</x:f>
        <x:v>0.07407407407407407</x:v>
      </x:c>
      <x:c r="Q270" s="30" t="n">
        <x:f>IFERROR(K270/J270,0)</x:f>
        <x:v>0.75</x:v>
      </x:c>
      <x:c r="R270" s="30" t="n">
        <x:f>IFERROR(L270/K270,0)</x:f>
        <x:v>0.6666666666666666</x:v>
      </x:c>
      <x:c r="S270" s="28" t="n">
        <x:f>IFERROR(N270/J270,0)</x:f>
        <x:v>1136.0225</x:v>
      </x:c>
      <x:c r="T270" s="28" t="n">
        <x:f>IFERROR(N270/K270,0)</x:f>
        <x:v>1514.6966666666667</x:v>
      </x:c>
      <x:c r="U270" s="28" t="n">
        <x:f>IFERROR(N270/L270,0)</x:f>
        <x:v>2272.045</x:v>
      </x:c>
    </x:row>
    <x:row r="271">
      <x:c r="A271" t="n">
        <x:v>270</x:v>
      </x:c>
      <x:c r="B271" s="26" t="n">
        <x:v>46091</x:v>
      </x:c>
      <x:c r="C271" t="str">
        <x:v>CPO_Always_On</x:v>
      </x:c>
      <x:c r="D271" t="str">
        <x:v>Meta Ads</x:v>
      </x:c>
      <x:c r="E271" t="str">
        <x:v>Assalariado</x:v>
      </x:c>
      <x:c r="F271" t="str">
        <x:v>Luanda</x:v>
      </x:c>
      <x:c r="G271" t="str">
        <x:v>iOS</x:v>
      </x:c>
      <x:c r="H271" t="n">
        <x:v>16111</x:v>
      </x:c>
      <x:c r="I271" t="n">
        <x:v>387</x:v>
      </x:c>
      <x:c r="J271" t="n">
        <x:v>55</x:v>
      </x:c>
      <x:c r="K271" t="n">
        <x:v>38</x:v>
      </x:c>
      <x:c r="L271" t="n">
        <x:v>18</x:v>
      </x:c>
      <x:c r="M271" s="28" t="n">
        <x:v>41072714.67</x:v>
      </x:c>
      <x:c r="N271" s="28" t="n">
        <x:v>33375.4</x:v>
      </x:c>
      <x:c r="O271" s="30" t="n">
        <x:f>IFERROR(I271/H271,0)</x:f>
        <x:v>0.02402085531624356</x:v>
      </x:c>
      <x:c r="P271" s="30" t="n">
        <x:f>IFERROR(J271/I271,0)</x:f>
        <x:v>0.1421188630490956</x:v>
      </x:c>
      <x:c r="Q271" s="30" t="n">
        <x:f>IFERROR(K271/J271,0)</x:f>
        <x:v>0.6909090909090909</x:v>
      </x:c>
      <x:c r="R271" s="30" t="n">
        <x:f>IFERROR(L271/K271,0)</x:f>
        <x:v>0.47368421052631576</x:v>
      </x:c>
      <x:c r="S271" s="28" t="n">
        <x:f>IFERROR(N271/J271,0)</x:f>
        <x:v>606.8254545454546</x:v>
      </x:c>
      <x:c r="T271" s="28" t="n">
        <x:f>IFERROR(N271/K271,0)</x:f>
        <x:v>878.3000000000001</x:v>
      </x:c>
      <x:c r="U271" s="28" t="n">
        <x:f>IFERROR(N271/L271,0)</x:f>
        <x:v>1854.1888888888889</x:v>
      </x:c>
    </x:row>
    <x:row r="272">
      <x:c r="A272" t="n">
        <x:v>271</x:v>
      </x:c>
      <x:c r="B272" s="26" t="n">
        <x:v>46091</x:v>
      </x:c>
      <x:c r="C272" t="str">
        <x:v>CPO_Premium</x:v>
      </x:c>
      <x:c r="D272" t="str">
        <x:v>BAI Directo/App</x:v>
      </x:c>
      <x:c r="E272" t="str">
        <x:v>Pequeno Negócio</x:v>
      </x:c>
      <x:c r="F272" t="str">
        <x:v>Benguela</x:v>
      </x:c>
      <x:c r="G272" t="str">
        <x:v>Android</x:v>
      </x:c>
      <x:c r="H272" t="n">
        <x:v>7349</x:v>
      </x:c>
      <x:c r="I272" t="n">
        <x:v>888</x:v>
      </x:c>
      <x:c r="J272" t="n">
        <x:v>241</x:v>
      </x:c>
      <x:c r="K272" t="n">
        <x:v>97</x:v>
      </x:c>
      <x:c r="L272" t="n">
        <x:v>45</x:v>
      </x:c>
      <x:c r="M272" s="28" t="n">
        <x:v>127188523.37</x:v>
      </x:c>
      <x:c r="N272" s="28" t="n">
        <x:v>36077.98</x:v>
      </x:c>
      <x:c r="O272" s="30" t="n">
        <x:f>IFERROR(I272/H272,0)</x:f>
        <x:v>0.12083276636277045</x:v>
      </x:c>
      <x:c r="P272" s="30" t="n">
        <x:f>IFERROR(J272/I272,0)</x:f>
        <x:v>0.2713963963963964</x:v>
      </x:c>
      <x:c r="Q272" s="30" t="n">
        <x:f>IFERROR(K272/J272,0)</x:f>
        <x:v>0.4024896265560166</x:v>
      </x:c>
      <x:c r="R272" s="30" t="n">
        <x:f>IFERROR(L272/K272,0)</x:f>
        <x:v>0.4639175257731959</x:v>
      </x:c>
      <x:c r="S272" s="28" t="n">
        <x:f>IFERROR(N272/J272,0)</x:f>
        <x:v>149.70116182572616</x:v>
      </x:c>
      <x:c r="T272" s="28" t="n">
        <x:f>IFERROR(N272/K272,0)</x:f>
        <x:v>371.9379381443299</x:v>
      </x:c>
      <x:c r="U272" s="28" t="n">
        <x:f>IFERROR(N272/L272,0)</x:f>
        <x:v>801.732888888889</x:v>
      </x:c>
    </x:row>
    <x:row r="273">
      <x:c r="A273" t="n">
        <x:v>272</x:v>
      </x:c>
      <x:c r="B273" s="26" t="n">
        <x:v>46091</x:v>
      </x:c>
      <x:c r="C273" t="str">
        <x:v>CPO_Salario</x:v>
      </x:c>
      <x:c r="D273" t="str">
        <x:v>Meta Ads</x:v>
      </x:c>
      <x:c r="E273" t="str">
        <x:v>Jovem Profissional</x:v>
      </x:c>
      <x:c r="F273" t="str">
        <x:v>Benguela</x:v>
      </x:c>
      <x:c r="G273" t="str">
        <x:v>Android</x:v>
      </x:c>
      <x:c r="H273" t="n">
        <x:v>16839</x:v>
      </x:c>
      <x:c r="I273" t="n">
        <x:v>344</x:v>
      </x:c>
      <x:c r="J273" t="n">
        <x:v>35</x:v>
      </x:c>
      <x:c r="K273" t="n">
        <x:v>21</x:v>
      </x:c>
      <x:c r="L273" t="n">
        <x:v>11</x:v>
      </x:c>
      <x:c r="M273" s="28" t="n">
        <x:v>15644514.89</x:v>
      </x:c>
      <x:c r="N273" s="28" t="n">
        <x:v>59850.51</x:v>
      </x:c>
      <x:c r="O273" s="30" t="n">
        <x:f>IFERROR(I273/H273,0)</x:f>
        <x:v>0.020428766553833362</x:v>
      </x:c>
      <x:c r="P273" s="30" t="n">
        <x:f>IFERROR(J273/I273,0)</x:f>
        <x:v>0.10174418604651163</x:v>
      </x:c>
      <x:c r="Q273" s="30" t="n">
        <x:f>IFERROR(K273/J273,0)</x:f>
        <x:v>0.6</x:v>
      </x:c>
      <x:c r="R273" s="30" t="n">
        <x:f>IFERROR(L273/K273,0)</x:f>
        <x:v>0.5238095238095238</x:v>
      </x:c>
      <x:c r="S273" s="28" t="n">
        <x:f>IFERROR(N273/J273,0)</x:f>
        <x:v>1710.0145714285716</x:v>
      </x:c>
      <x:c r="T273" s="28" t="n">
        <x:f>IFERROR(N273/K273,0)</x:f>
        <x:v>2850.0242857142857</x:v>
      </x:c>
      <x:c r="U273" s="28" t="n">
        <x:f>IFERROR(N273/L273,0)</x:f>
        <x:v>5440.955454545455</x:v>
      </x:c>
    </x:row>
    <x:row r="274">
      <x:c r="A274" t="n">
        <x:v>273</x:v>
      </x:c>
      <x:c r="B274" s="26" t="n">
        <x:v>46092</x:v>
      </x:c>
      <x:c r="C274" t="str">
        <x:v>CPO_Salario</x:v>
      </x:c>
      <x:c r="D274" t="str">
        <x:v>BAI Directo/App</x:v>
      </x:c>
      <x:c r="E274" t="str">
        <x:v>Jovem Profissional</x:v>
      </x:c>
      <x:c r="F274" t="str">
        <x:v>Luanda</x:v>
      </x:c>
      <x:c r="G274" t="str">
        <x:v>Android</x:v>
      </x:c>
      <x:c r="H274" t="n">
        <x:v>10959</x:v>
      </x:c>
      <x:c r="I274" t="n">
        <x:v>1437</x:v>
      </x:c>
      <x:c r="J274" t="n">
        <x:v>352</x:v>
      </x:c>
      <x:c r="K274" t="n">
        <x:v>183</x:v>
      </x:c>
      <x:c r="L274" t="n">
        <x:v>90</x:v>
      </x:c>
      <x:c r="M274" s="28" t="n">
        <x:v>116199030.38</x:v>
      </x:c>
      <x:c r="N274" s="28" t="n">
        <x:v>62139.57</x:v>
      </x:c>
      <x:c r="O274" s="30" t="n">
        <x:f>IFERROR(I274/H274,0)</x:f>
        <x:v>0.13112510265535177</x:v>
      </x:c>
      <x:c r="P274" s="30" t="n">
        <x:f>IFERROR(J274/I274,0)</x:f>
        <x:v>0.24495476687543494</x:v>
      </x:c>
      <x:c r="Q274" s="30" t="n">
        <x:f>IFERROR(K274/J274,0)</x:f>
        <x:v>0.5198863636363636</x:v>
      </x:c>
      <x:c r="R274" s="30" t="n">
        <x:f>IFERROR(L274/K274,0)</x:f>
        <x:v>0.4918032786885246</x:v>
      </x:c>
      <x:c r="S274" s="28" t="n">
        <x:f>IFERROR(N274/J274,0)</x:f>
        <x:v>176.5328693181818</x:v>
      </x:c>
      <x:c r="T274" s="28" t="n">
        <x:f>IFERROR(N274/K274,0)</x:f>
        <x:v>339.5604918032787</x:v>
      </x:c>
      <x:c r="U274" s="28" t="n">
        <x:f>IFERROR(N274/L274,0)</x:f>
        <x:v>690.4396666666667</x:v>
      </x:c>
    </x:row>
    <x:row r="275">
      <x:c r="A275" t="n">
        <x:v>274</x:v>
      </x:c>
      <x:c r="B275" s="26" t="n">
        <x:v>46092</x:v>
      </x:c>
      <x:c r="C275" t="str">
        <x:v>CPO_Premium</x:v>
      </x:c>
      <x:c r="D275" t="str">
        <x:v>TikTok Ads</x:v>
      </x:c>
      <x:c r="E275" t="str">
        <x:v>Funcionário Público</x:v>
      </x:c>
      <x:c r="F275" t="str">
        <x:v>Cabinda</x:v>
      </x:c>
      <x:c r="G275" t="str">
        <x:v>Android</x:v>
      </x:c>
      <x:c r="H275" t="n">
        <x:v>9505</x:v>
      </x:c>
      <x:c r="I275" t="n">
        <x:v>116</x:v>
      </x:c>
      <x:c r="J275" t="n">
        <x:v>7</x:v>
      </x:c>
      <x:c r="K275" t="n">
        <x:v>4</x:v>
      </x:c>
      <x:c r="L275" t="n">
        <x:v>3</x:v>
      </x:c>
      <x:c r="M275" s="28" t="n">
        <x:v>5230047.08</x:v>
      </x:c>
      <x:c r="N275" s="28" t="n">
        <x:v>21963.27</x:v>
      </x:c>
      <x:c r="O275" s="30" t="n">
        <x:f>IFERROR(I275/H275,0)</x:f>
        <x:v>0.012204103103629668</x:v>
      </x:c>
      <x:c r="P275" s="30" t="n">
        <x:f>IFERROR(J275/I275,0)</x:f>
        <x:v>0.0603448275862069</x:v>
      </x:c>
      <x:c r="Q275" s="30" t="n">
        <x:f>IFERROR(K275/J275,0)</x:f>
        <x:v>0.5714285714285714</x:v>
      </x:c>
      <x:c r="R275" s="30" t="n">
        <x:f>IFERROR(L275/K275,0)</x:f>
        <x:v>0.75</x:v>
      </x:c>
      <x:c r="S275" s="28" t="n">
        <x:f>IFERROR(N275/J275,0)</x:f>
        <x:v>3137.61</x:v>
      </x:c>
      <x:c r="T275" s="28" t="n">
        <x:f>IFERROR(N275/K275,0)</x:f>
        <x:v>5490.8175</x:v>
      </x:c>
      <x:c r="U275" s="28" t="n">
        <x:f>IFERROR(N275/L275,0)</x:f>
        <x:v>7321.09</x:v>
      </x:c>
    </x:row>
    <x:row r="276">
      <x:c r="A276" t="n">
        <x:v>275</x:v>
      </x:c>
      <x:c r="B276" s="26" t="n">
        <x:v>46092</x:v>
      </x:c>
      <x:c r="C276" t="str">
        <x:v>CPO_Fim_do_Mes</x:v>
      </x:c>
      <x:c r="D276" t="str">
        <x:v>Google Ads</x:v>
      </x:c>
      <x:c r="E276" t="str">
        <x:v>Funcionário Público</x:v>
      </x:c>
      <x:c r="F276" t="str">
        <x:v>Luanda</x:v>
      </x:c>
      <x:c r="G276" t="str">
        <x:v>Android</x:v>
      </x:c>
      <x:c r="H276" t="n">
        <x:v>12670</x:v>
      </x:c>
      <x:c r="I276" t="n">
        <x:v>303</x:v>
      </x:c>
      <x:c r="J276" t="n">
        <x:v>65</x:v>
      </x:c>
      <x:c r="K276" t="n">
        <x:v>50</x:v>
      </x:c>
      <x:c r="L276" t="n">
        <x:v>32</x:v>
      </x:c>
      <x:c r="M276" s="28" t="n">
        <x:v>58201256.51</x:v>
      </x:c>
      <x:c r="N276" s="28" t="n">
        <x:v>51326.41</x:v>
      </x:c>
      <x:c r="O276" s="30" t="n">
        <x:f>IFERROR(I276/H276,0)</x:f>
        <x:v>0.023914759273875295</x:v>
      </x:c>
      <x:c r="P276" s="30" t="n">
        <x:f>IFERROR(J276/I276,0)</x:f>
        <x:v>0.2145214521452145</x:v>
      </x:c>
      <x:c r="Q276" s="30" t="n">
        <x:f>IFERROR(K276/J276,0)</x:f>
        <x:v>0.7692307692307693</x:v>
      </x:c>
      <x:c r="R276" s="30" t="n">
        <x:f>IFERROR(L276/K276,0)</x:f>
        <x:v>0.64</x:v>
      </x:c>
      <x:c r="S276" s="28" t="n">
        <x:f>IFERROR(N276/J276,0)</x:f>
        <x:v>789.637076923077</x:v>
      </x:c>
      <x:c r="T276" s="28" t="n">
        <x:f>IFERROR(N276/K276,0)</x:f>
        <x:v>1026.5282</x:v>
      </x:c>
      <x:c r="U276" s="28" t="n">
        <x:f>IFERROR(N276/L276,0)</x:f>
        <x:v>1603.9503125</x:v>
      </x:c>
    </x:row>
    <x:row r="277">
      <x:c r="A277" t="n">
        <x:v>276</x:v>
      </x:c>
      <x:c r="B277" s="26" t="n">
        <x:v>46092</x:v>
      </x:c>
      <x:c r="C277" t="str">
        <x:v>CPO_Digital_360</x:v>
      </x:c>
      <x:c r="D277" t="str">
        <x:v>TikTok Ads</x:v>
      </x:c>
      <x:c r="E277" t="str">
        <x:v>Jovem Profissional</x:v>
      </x:c>
      <x:c r="F277" t="str">
        <x:v>Huíla</x:v>
      </x:c>
      <x:c r="G277" t="str">
        <x:v>iOS</x:v>
      </x:c>
      <x:c r="H277" t="n">
        <x:v>24519</x:v>
      </x:c>
      <x:c r="I277" t="n">
        <x:v>409</x:v>
      </x:c>
      <x:c r="J277" t="n">
        <x:v>29</x:v>
      </x:c>
      <x:c r="K277" t="n">
        <x:v>15</x:v>
      </x:c>
      <x:c r="L277" t="n">
        <x:v>6</x:v>
      </x:c>
      <x:c r="M277" s="28" t="n">
        <x:v>5144518.76</x:v>
      </x:c>
      <x:c r="N277" s="28" t="n">
        <x:v>58118.07</x:v>
      </x:c>
      <x:c r="O277" s="30" t="n">
        <x:f>IFERROR(I277/H277,0)</x:f>
        <x:v>0.01668094131082018</x:v>
      </x:c>
      <x:c r="P277" s="30" t="n">
        <x:f>IFERROR(J277/I277,0)</x:f>
        <x:v>0.07090464547677261</x:v>
      </x:c>
      <x:c r="Q277" s="30" t="n">
        <x:f>IFERROR(K277/J277,0)</x:f>
        <x:v>0.5172413793103449</x:v>
      </x:c>
      <x:c r="R277" s="30" t="n">
        <x:f>IFERROR(L277/K277,0)</x:f>
        <x:v>0.4</x:v>
      </x:c>
      <x:c r="S277" s="28" t="n">
        <x:f>IFERROR(N277/J277,0)</x:f>
        <x:v>2004.0713793103448</x:v>
      </x:c>
      <x:c r="T277" s="28" t="n">
        <x:f>IFERROR(N277/K277,0)</x:f>
        <x:v>3874.538</x:v>
      </x:c>
      <x:c r="U277" s="28" t="n">
        <x:f>IFERROR(N277/L277,0)</x:f>
        <x:v>9686.345</x:v>
      </x:c>
    </x:row>
    <x:row r="278">
      <x:c r="A278" t="n">
        <x:v>277</x:v>
      </x:c>
      <x:c r="B278" s="26" t="n">
        <x:v>46092</x:v>
      </x:c>
      <x:c r="C278" t="str">
        <x:v>CPO_Always_On</x:v>
      </x:c>
      <x:c r="D278" t="str">
        <x:v>Meta Ads</x:v>
      </x:c>
      <x:c r="E278" t="str">
        <x:v>Jovem Profissional</x:v>
      </x:c>
      <x:c r="F278" t="str">
        <x:v>Cuanza Sul</x:v>
      </x:c>
      <x:c r="G278" t="str">
        <x:v>Android</x:v>
      </x:c>
      <x:c r="H278" t="n">
        <x:v>11237</x:v>
      </x:c>
      <x:c r="I278" t="n">
        <x:v>257</x:v>
      </x:c>
      <x:c r="J278" t="n">
        <x:v>31</x:v>
      </x:c>
      <x:c r="K278" t="n">
        <x:v>17</x:v>
      </x:c>
      <x:c r="L278" t="n">
        <x:v>11</x:v>
      </x:c>
      <x:c r="M278" s="28" t="n">
        <x:v>12371711.17</x:v>
      </x:c>
      <x:c r="N278" s="28" t="n">
        <x:v>15897.49</x:v>
      </x:c>
      <x:c r="O278" s="30" t="n">
        <x:f>IFERROR(I278/H278,0)</x:f>
        <x:v>0.02287087300881018</x:v>
      </x:c>
      <x:c r="P278" s="30" t="n">
        <x:f>IFERROR(J278/I278,0)</x:f>
        <x:v>0.12062256809338522</x:v>
      </x:c>
      <x:c r="Q278" s="30" t="n">
        <x:f>IFERROR(K278/J278,0)</x:f>
        <x:v>0.5483870967741935</x:v>
      </x:c>
      <x:c r="R278" s="30" t="n">
        <x:f>IFERROR(L278/K278,0)</x:f>
        <x:v>0.6470588235294118</x:v>
      </x:c>
      <x:c r="S278" s="28" t="n">
        <x:f>IFERROR(N278/J278,0)</x:f>
        <x:v>512.8222580645162</x:v>
      </x:c>
      <x:c r="T278" s="28" t="n">
        <x:f>IFERROR(N278/K278,0)</x:f>
        <x:v>935.1464705882353</x:v>
      </x:c>
      <x:c r="U278" s="28" t="n">
        <x:f>IFERROR(N278/L278,0)</x:f>
        <x:v>1445.2263636363637</x:v>
      </x:c>
    </x:row>
    <x:row r="279">
      <x:c r="A279" t="n">
        <x:v>278</x:v>
      </x:c>
      <x:c r="B279" s="26" t="n">
        <x:v>46093</x:v>
      </x:c>
      <x:c r="C279" t="str">
        <x:v>CPO_Acesso_Rapido</x:v>
      </x:c>
      <x:c r="D279" t="str">
        <x:v>Google Ads</x:v>
      </x:c>
      <x:c r="E279" t="str">
        <x:v>Assalariado</x:v>
      </x:c>
      <x:c r="F279" t="str">
        <x:v>Luanda</x:v>
      </x:c>
      <x:c r="G279" t="str">
        <x:v>Android</x:v>
      </x:c>
      <x:c r="H279" t="n">
        <x:v>27623</x:v>
      </x:c>
      <x:c r="I279" t="n">
        <x:v>771</x:v>
      </x:c>
      <x:c r="J279" t="n">
        <x:v>125</x:v>
      </x:c>
      <x:c r="K279" t="n">
        <x:v>86</x:v>
      </x:c>
      <x:c r="L279" t="n">
        <x:v>52</x:v>
      </x:c>
      <x:c r="M279" s="28" t="n">
        <x:v>116327772.92</x:v>
      </x:c>
      <x:c r="N279" s="28" t="n">
        <x:v>97721.6</x:v>
      </x:c>
      <x:c r="O279" s="30" t="n">
        <x:f>IFERROR(I279/H279,0)</x:f>
        <x:v>0.027911523006190493</x:v>
      </x:c>
      <x:c r="P279" s="30" t="n">
        <x:f>IFERROR(J279/I279,0)</x:f>
        <x:v>0.1621271076523995</x:v>
      </x:c>
      <x:c r="Q279" s="30" t="n">
        <x:f>IFERROR(K279/J279,0)</x:f>
        <x:v>0.688</x:v>
      </x:c>
      <x:c r="R279" s="30" t="n">
        <x:f>IFERROR(L279/K279,0)</x:f>
        <x:v>0.6046511627906976</x:v>
      </x:c>
      <x:c r="S279" s="28" t="n">
        <x:f>IFERROR(N279/J279,0)</x:f>
        <x:v>781.7728000000001</x:v>
      </x:c>
      <x:c r="T279" s="28" t="n">
        <x:f>IFERROR(N279/K279,0)</x:f>
        <x:v>1136.2976744186046</x:v>
      </x:c>
      <x:c r="U279" s="28" t="n">
        <x:f>IFERROR(N279/L279,0)</x:f>
        <x:v>1879.2615384615385</x:v>
      </x:c>
    </x:row>
    <x:row r="280">
      <x:c r="A280" t="n">
        <x:v>279</x:v>
      </x:c>
      <x:c r="B280" s="26" t="n">
        <x:v>46093</x:v>
      </x:c>
      <x:c r="C280" t="str">
        <x:v>CPO_Acesso_Rapido</x:v>
      </x:c>
      <x:c r="D280" t="str">
        <x:v>BAI Directo/App</x:v>
      </x:c>
      <x:c r="E280" t="str">
        <x:v>Pequeno Negócio</x:v>
      </x:c>
      <x:c r="F280" t="str">
        <x:v>Uíge</x:v>
      </x:c>
      <x:c r="G280" t="str">
        <x:v>Android</x:v>
      </x:c>
      <x:c r="H280" t="n">
        <x:v>11213</x:v>
      </x:c>
      <x:c r="I280" t="n">
        <x:v>1282</x:v>
      </x:c>
      <x:c r="J280" t="n">
        <x:v>203</x:v>
      </x:c>
      <x:c r="K280" t="n">
        <x:v>113</x:v>
      </x:c>
      <x:c r="L280" t="n">
        <x:v>62</x:v>
      </x:c>
      <x:c r="M280" s="28" t="n">
        <x:v>195271252.12</x:v>
      </x:c>
      <x:c r="N280" s="28" t="n">
        <x:v>69379.07</x:v>
      </x:c>
      <x:c r="O280" s="30" t="n">
        <x:f>IFERROR(I280/H280,0)</x:f>
        <x:v>0.11433157941674842</x:v>
      </x:c>
      <x:c r="P280" s="30" t="n">
        <x:f>IFERROR(J280/I280,0)</x:f>
        <x:v>0.15834633385335414</x:v>
      </x:c>
      <x:c r="Q280" s="30" t="n">
        <x:f>IFERROR(K280/J280,0)</x:f>
        <x:v>0.5566502463054187</x:v>
      </x:c>
      <x:c r="R280" s="30" t="n">
        <x:f>IFERROR(L280/K280,0)</x:f>
        <x:v>0.5486725663716814</x:v>
      </x:c>
      <x:c r="S280" s="28" t="n">
        <x:f>IFERROR(N280/J280,0)</x:f>
        <x:v>341.7688177339902</x:v>
      </x:c>
      <x:c r="T280" s="28" t="n">
        <x:f>IFERROR(N280/K280,0)</x:f>
        <x:v>613.9740707964602</x:v>
      </x:c>
      <x:c r="U280" s="28" t="n">
        <x:f>IFERROR(N280/L280,0)</x:f>
        <x:v>1119.0172580645162</x:v>
      </x:c>
    </x:row>
    <x:row r="281">
      <x:c r="A281" t="n">
        <x:v>280</x:v>
      </x:c>
      <x:c r="B281" s="26" t="n">
        <x:v>46093</x:v>
      </x:c>
      <x:c r="C281" t="str">
        <x:v>CPO_Acesso_Rapido</x:v>
      </x:c>
      <x:c r="D281" t="str">
        <x:v>SMS</x:v>
      </x:c>
      <x:c r="E281" t="str">
        <x:v>Funcionário Público</x:v>
      </x:c>
      <x:c r="F281" t="str">
        <x:v>Cuanza Sul</x:v>
      </x:c>
      <x:c r="G281" t="str">
        <x:v>iOS</x:v>
      </x:c>
      <x:c r="H281" t="n">
        <x:v>7250</x:v>
      </x:c>
      <x:c r="I281" t="n">
        <x:v>574</x:v>
      </x:c>
      <x:c r="J281" t="n">
        <x:v>90</x:v>
      </x:c>
      <x:c r="K281" t="n">
        <x:v>71</x:v>
      </x:c>
      <x:c r="L281" t="n">
        <x:v>57</x:v>
      </x:c>
      <x:c r="M281" s="28" t="n">
        <x:v>99419733.62</x:v>
      </x:c>
      <x:c r="N281" s="28" t="n">
        <x:v>62294.75</x:v>
      </x:c>
      <x:c r="O281" s="30" t="n">
        <x:f>IFERROR(I281/H281,0)</x:f>
        <x:v>0.07917241379310345</x:v>
      </x:c>
      <x:c r="P281" s="30" t="n">
        <x:f>IFERROR(J281/I281,0)</x:f>
        <x:v>0.156794425087108</x:v>
      </x:c>
      <x:c r="Q281" s="30" t="n">
        <x:f>IFERROR(K281/J281,0)</x:f>
        <x:v>0.7888888888888889</x:v>
      </x:c>
      <x:c r="R281" s="30" t="n">
        <x:f>IFERROR(L281/K281,0)</x:f>
        <x:v>0.8028169014084507</x:v>
      </x:c>
      <x:c r="S281" s="28" t="n">
        <x:f>IFERROR(N281/J281,0)</x:f>
        <x:v>692.1638888888889</x:v>
      </x:c>
      <x:c r="T281" s="28" t="n">
        <x:f>IFERROR(N281/K281,0)</x:f>
        <x:v>877.3908450704225</x:v>
      </x:c>
      <x:c r="U281" s="28" t="n">
        <x:f>IFERROR(N281/L281,0)</x:f>
        <x:v>1092.890350877193</x:v>
      </x:c>
    </x:row>
    <x:row r="282">
      <x:c r="A282" t="n">
        <x:v>281</x:v>
      </x:c>
      <x:c r="B282" s="26" t="n">
        <x:v>46094</x:v>
      </x:c>
      <x:c r="C282" t="str">
        <x:v>CPO_Acesso_Rapido</x:v>
      </x:c>
      <x:c r="D282" t="str">
        <x:v>BAI Directo/App</x:v>
      </x:c>
      <x:c r="E282" t="str">
        <x:v>Premium</x:v>
      </x:c>
      <x:c r="F282" t="str">
        <x:v>Cuanza Sul</x:v>
      </x:c>
      <x:c r="G282" t="str">
        <x:v>Desktop</x:v>
      </x:c>
      <x:c r="H282" t="n">
        <x:v>3830</x:v>
      </x:c>
      <x:c r="I282" t="n">
        <x:v>535</x:v>
      </x:c>
      <x:c r="J282" t="n">
        <x:v>109</x:v>
      </x:c>
      <x:c r="K282" t="n">
        <x:v>71</x:v>
      </x:c>
      <x:c r="L282" t="n">
        <x:v>60</x:v>
      </x:c>
      <x:c r="M282" s="28" t="n">
        <x:v>332470985.5</x:v>
      </x:c>
      <x:c r="N282" s="28" t="n">
        <x:v>62214.06</x:v>
      </x:c>
      <x:c r="O282" s="30" t="n">
        <x:f>IFERROR(I282/H282,0)</x:f>
        <x:v>0.13968668407310705</x:v>
      </x:c>
      <x:c r="P282" s="30" t="n">
        <x:f>IFERROR(J282/I282,0)</x:f>
        <x:v>0.20373831775700935</x:v>
      </x:c>
      <x:c r="Q282" s="30" t="n">
        <x:f>IFERROR(K282/J282,0)</x:f>
        <x:v>0.6513761467889908</x:v>
      </x:c>
      <x:c r="R282" s="30" t="n">
        <x:f>IFERROR(L282/K282,0)</x:f>
        <x:v>0.8450704225352113</x:v>
      </x:c>
      <x:c r="S282" s="28" t="n">
        <x:f>IFERROR(N282/J282,0)</x:f>
        <x:v>570.7711926605505</x:v>
      </x:c>
      <x:c r="T282" s="28" t="n">
        <x:f>IFERROR(N282/K282,0)</x:f>
        <x:v>876.2543661971831</x:v>
      </x:c>
      <x:c r="U282" s="28" t="n">
        <x:f>IFERROR(N282/L282,0)</x:f>
        <x:v>1036.901</x:v>
      </x:c>
    </x:row>
    <x:row r="283">
      <x:c r="A283" t="n">
        <x:v>282</x:v>
      </x:c>
      <x:c r="B283" s="26" t="n">
        <x:v>46094</x:v>
      </x:c>
      <x:c r="C283" t="str">
        <x:v>CPO_Digital_360</x:v>
      </x:c>
      <x:c r="D283" t="str">
        <x:v>SMS</x:v>
      </x:c>
      <x:c r="E283" t="str">
        <x:v>Assalariado</x:v>
      </x:c>
      <x:c r="F283" t="str">
        <x:v>Cabinda</x:v>
      </x:c>
      <x:c r="G283" t="str">
        <x:v>Android</x:v>
      </x:c>
      <x:c r="H283" t="n">
        <x:v>10985</x:v>
      </x:c>
      <x:c r="I283" t="n">
        <x:v>532</x:v>
      </x:c>
      <x:c r="J283" t="n">
        <x:v>67</x:v>
      </x:c>
      <x:c r="K283" t="n">
        <x:v>46</x:v>
      </x:c>
      <x:c r="L283" t="n">
        <x:v>38</x:v>
      </x:c>
      <x:c r="M283" s="28" t="n">
        <x:v>80429438.52</x:v>
      </x:c>
      <x:c r="N283" s="28" t="n">
        <x:v>67662.78</x:v>
      </x:c>
      <x:c r="O283" s="30" t="n">
        <x:f>IFERROR(I283/H283,0)</x:f>
        <x:v>0.048429676832043696</x:v>
      </x:c>
      <x:c r="P283" s="30" t="n">
        <x:f>IFERROR(J283/I283,0)</x:f>
        <x:v>0.12593984962406016</x:v>
      </x:c>
      <x:c r="Q283" s="30" t="n">
        <x:f>IFERROR(K283/J283,0)</x:f>
        <x:v>0.6865671641791045</x:v>
      </x:c>
      <x:c r="R283" s="30" t="n">
        <x:f>IFERROR(L283/K283,0)</x:f>
        <x:v>0.8260869565217391</x:v>
      </x:c>
      <x:c r="S283" s="28" t="n">
        <x:f>IFERROR(N283/J283,0)</x:f>
        <x:v>1009.8922388059701</x:v>
      </x:c>
      <x:c r="T283" s="28" t="n">
        <x:f>IFERROR(N283/K283,0)</x:f>
        <x:v>1470.93</x:v>
      </x:c>
      <x:c r="U283" s="28" t="n">
        <x:f>IFERROR(N283/L283,0)</x:f>
        <x:v>1780.5994736842106</x:v>
      </x:c>
    </x:row>
    <x:row r="284">
      <x:c r="A284" t="n">
        <x:v>283</x:v>
      </x:c>
      <x:c r="B284" s="26" t="n">
        <x:v>46094</x:v>
      </x:c>
      <x:c r="C284" t="str">
        <x:v>CPO_Acesso_Rapido</x:v>
      </x:c>
      <x:c r="D284" t="str">
        <x:v>BAI Directo/App</x:v>
      </x:c>
      <x:c r="E284" t="str">
        <x:v>Jovem Profissional</x:v>
      </x:c>
      <x:c r="F284" t="str">
        <x:v>Huambo</x:v>
      </x:c>
      <x:c r="G284" t="str">
        <x:v>Android</x:v>
      </x:c>
      <x:c r="H284" t="n">
        <x:v>11724</x:v>
      </x:c>
      <x:c r="I284" t="n">
        <x:v>1735</x:v>
      </x:c>
      <x:c r="J284" t="n">
        <x:v>227</x:v>
      </x:c>
      <x:c r="K284" t="n">
        <x:v>109</x:v>
      </x:c>
      <x:c r="L284" t="n">
        <x:v>53</x:v>
      </x:c>
      <x:c r="M284" s="28" t="n">
        <x:v>66152499.18</x:v>
      </x:c>
      <x:c r="N284" s="28" t="n">
        <x:v>116774.82</x:v>
      </x:c>
      <x:c r="O284" s="30" t="n">
        <x:f>IFERROR(I284/H284,0)</x:f>
        <x:v>0.1479870351415899</x:v>
      </x:c>
      <x:c r="P284" s="30" t="n">
        <x:f>IFERROR(J284/I284,0)</x:f>
        <x:v>0.130835734870317</x:v>
      </x:c>
      <x:c r="Q284" s="30" t="n">
        <x:f>IFERROR(K284/J284,0)</x:f>
        <x:v>0.4801762114537445</x:v>
      </x:c>
      <x:c r="R284" s="30" t="n">
        <x:f>IFERROR(L284/K284,0)</x:f>
        <x:v>0.48623853211009177</x:v>
      </x:c>
      <x:c r="S284" s="28" t="n">
        <x:f>IFERROR(N284/J284,0)</x:f>
        <x:v>514.4265198237886</x:v>
      </x:c>
      <x:c r="T284" s="28" t="n">
        <x:f>IFERROR(N284/K284,0)</x:f>
        <x:v>1071.3286238532112</x:v>
      </x:c>
      <x:c r="U284" s="28" t="n">
        <x:f>IFERROR(N284/L284,0)</x:f>
        <x:v>2203.298490566038</x:v>
      </x:c>
    </x:row>
    <x:row r="285">
      <x:c r="A285" t="n">
        <x:v>284</x:v>
      </x:c>
      <x:c r="B285" s="26" t="n">
        <x:v>46094</x:v>
      </x:c>
      <x:c r="C285" t="str">
        <x:v>CPO_Premium</x:v>
      </x:c>
      <x:c r="D285" t="str">
        <x:v>Google Ads</x:v>
      </x:c>
      <x:c r="E285" t="str">
        <x:v>Assalariado</x:v>
      </x:c>
      <x:c r="F285" t="str">
        <x:v>Luanda</x:v>
      </x:c>
      <x:c r="G285" t="str">
        <x:v>iOS</x:v>
      </x:c>
      <x:c r="H285" t="n">
        <x:v>15944</x:v>
      </x:c>
      <x:c r="I285" t="n">
        <x:v>474</x:v>
      </x:c>
      <x:c r="J285" t="n">
        <x:v>77</x:v>
      </x:c>
      <x:c r="K285" t="n">
        <x:v>54</x:v>
      </x:c>
      <x:c r="L285" t="n">
        <x:v>37</x:v>
      </x:c>
      <x:c r="M285" s="28" t="n">
        <x:v>77645114.1</x:v>
      </x:c>
      <x:c r="N285" s="28" t="n">
        <x:v>81268.43</x:v>
      </x:c>
      <x:c r="O285" s="30" t="n">
        <x:f>IFERROR(I285/H285,0)</x:f>
        <x:v>0.029729051680883092</x:v>
      </x:c>
      <x:c r="P285" s="30" t="n">
        <x:f>IFERROR(J285/I285,0)</x:f>
        <x:v>0.16244725738396623</x:v>
      </x:c>
      <x:c r="Q285" s="30" t="n">
        <x:f>IFERROR(K285/J285,0)</x:f>
        <x:v>0.7012987012987013</x:v>
      </x:c>
      <x:c r="R285" s="30" t="n">
        <x:f>IFERROR(L285/K285,0)</x:f>
        <x:v>0.6851851851851852</x:v>
      </x:c>
      <x:c r="S285" s="28" t="n">
        <x:f>IFERROR(N285/J285,0)</x:f>
        <x:v>1055.4341558441558</x:v>
      </x:c>
      <x:c r="T285" s="28" t="n">
        <x:f>IFERROR(N285/K285,0)</x:f>
        <x:v>1504.9709259259257</x:v>
      </x:c>
      <x:c r="U285" s="28" t="n">
        <x:f>IFERROR(N285/L285,0)</x:f>
        <x:v>2196.444054054054</x:v>
      </x:c>
    </x:row>
    <x:row r="286">
      <x:c r="A286" t="n">
        <x:v>285</x:v>
      </x:c>
      <x:c r="B286" s="26" t="n">
        <x:v>46095</x:v>
      </x:c>
      <x:c r="C286" t="str">
        <x:v>CPO_Always_On</x:v>
      </x:c>
      <x:c r="D286" t="str">
        <x:v>Google Ads</x:v>
      </x:c>
      <x:c r="E286" t="str">
        <x:v>Funcionário Público</x:v>
      </x:c>
      <x:c r="F286" t="str">
        <x:v>Huambo</x:v>
      </x:c>
      <x:c r="G286" t="str">
        <x:v>Android</x:v>
      </x:c>
      <x:c r="H286" t="n">
        <x:v>3559</x:v>
      </x:c>
      <x:c r="I286" t="n">
        <x:v>100</x:v>
      </x:c>
      <x:c r="J286" t="n">
        <x:v>13</x:v>
      </x:c>
      <x:c r="K286" t="n">
        <x:v>8</x:v>
      </x:c>
      <x:c r="L286" t="n">
        <x:v>5</x:v>
      </x:c>
      <x:c r="M286" s="28" t="n">
        <x:v>8856466.38</x:v>
      </x:c>
      <x:c r="N286" s="28" t="n">
        <x:v>13301.17</x:v>
      </x:c>
      <x:c r="O286" s="30" t="n">
        <x:f>IFERROR(I286/H286,0)</x:f>
        <x:v>0.028097780275358246</x:v>
      </x:c>
      <x:c r="P286" s="30" t="n">
        <x:f>IFERROR(J286/I286,0)</x:f>
        <x:v>0.13</x:v>
      </x:c>
      <x:c r="Q286" s="30" t="n">
        <x:f>IFERROR(K286/J286,0)</x:f>
        <x:v>0.6153846153846154</x:v>
      </x:c>
      <x:c r="R286" s="30" t="n">
        <x:f>IFERROR(L286/K286,0)</x:f>
        <x:v>0.625</x:v>
      </x:c>
      <x:c r="S286" s="28" t="n">
        <x:f>IFERROR(N286/J286,0)</x:f>
        <x:v>1023.1669230769231</x:v>
      </x:c>
      <x:c r="T286" s="28" t="n">
        <x:f>IFERROR(N286/K286,0)</x:f>
        <x:v>1662.64625</x:v>
      </x:c>
      <x:c r="U286" s="28" t="n">
        <x:f>IFERROR(N286/L286,0)</x:f>
        <x:v>2660.234</x:v>
      </x:c>
    </x:row>
    <x:row r="287">
      <x:c r="A287" t="n">
        <x:v>286</x:v>
      </x:c>
      <x:c r="B287" s="26" t="n">
        <x:v>46095</x:v>
      </x:c>
      <x:c r="C287" t="str">
        <x:v>CPO_Acesso_Rapido</x:v>
      </x:c>
      <x:c r="D287" t="str">
        <x:v>E-mail</x:v>
      </x:c>
      <x:c r="E287" t="str">
        <x:v>Assalariado</x:v>
      </x:c>
      <x:c r="F287" t="str">
        <x:v>Luanda</x:v>
      </x:c>
      <x:c r="G287" t="str">
        <x:v>iOS</x:v>
      </x:c>
      <x:c r="H287" t="n">
        <x:v>5699</x:v>
      </x:c>
      <x:c r="I287" t="n">
        <x:v>288</x:v>
      </x:c>
      <x:c r="J287" t="n">
        <x:v>32</x:v>
      </x:c>
      <x:c r="K287" t="n">
        <x:v>18</x:v>
      </x:c>
      <x:c r="L287" t="n">
        <x:v>12</x:v>
      </x:c>
      <x:c r="M287" s="28" t="n">
        <x:v>22434318.45</x:v>
      </x:c>
      <x:c r="N287" s="28" t="n">
        <x:v>73221.07</x:v>
      </x:c>
      <x:c r="O287" s="30" t="n">
        <x:f>IFERROR(I287/H287,0)</x:f>
        <x:v>0.050535181610808916</x:v>
      </x:c>
      <x:c r="P287" s="30" t="n">
        <x:f>IFERROR(J287/I287,0)</x:f>
        <x:v>0.1111111111111111</x:v>
      </x:c>
      <x:c r="Q287" s="30" t="n">
        <x:f>IFERROR(K287/J287,0)</x:f>
        <x:v>0.5625</x:v>
      </x:c>
      <x:c r="R287" s="30" t="n">
        <x:f>IFERROR(L287/K287,0)</x:f>
        <x:v>0.6666666666666666</x:v>
      </x:c>
      <x:c r="S287" s="28" t="n">
        <x:f>IFERROR(N287/J287,0)</x:f>
        <x:v>2288.1584375</x:v>
      </x:c>
      <x:c r="T287" s="28" t="n">
        <x:f>IFERROR(N287/K287,0)</x:f>
        <x:v>4067.8372222222224</x:v>
      </x:c>
      <x:c r="U287" s="28" t="n">
        <x:f>IFERROR(N287/L287,0)</x:f>
        <x:v>6101.755833333334</x:v>
      </x:c>
    </x:row>
    <x:row r="288">
      <x:c r="A288" t="n">
        <x:v>287</x:v>
      </x:c>
      <x:c r="B288" s="26" t="n">
        <x:v>46095</x:v>
      </x:c>
      <x:c r="C288" t="str">
        <x:v>CPO_Acesso_Rapido</x:v>
      </x:c>
      <x:c r="D288" t="str">
        <x:v>Google Ads</x:v>
      </x:c>
      <x:c r="E288" t="str">
        <x:v>Jovem Profissional</x:v>
      </x:c>
      <x:c r="F288" t="str">
        <x:v>Cabinda</x:v>
      </x:c>
      <x:c r="G288" t="str">
        <x:v>Android</x:v>
      </x:c>
      <x:c r="H288" t="n">
        <x:v>13314</x:v>
      </x:c>
      <x:c r="I288" t="n">
        <x:v>327</x:v>
      </x:c>
      <x:c r="J288" t="n">
        <x:v>50</x:v>
      </x:c>
      <x:c r="K288" t="n">
        <x:v>26</x:v>
      </x:c>
      <x:c r="L288" t="n">
        <x:v>17</x:v>
      </x:c>
      <x:c r="M288" s="28" t="n">
        <x:v>21958442.72</x:v>
      </x:c>
      <x:c r="N288" s="28" t="n">
        <x:v>22220.91</x:v>
      </x:c>
      <x:c r="O288" s="30" t="n">
        <x:f>IFERROR(I288/H288,0)</x:f>
        <x:v>0.024560612888688597</x:v>
      </x:c>
      <x:c r="P288" s="30" t="n">
        <x:f>IFERROR(J288/I288,0)</x:f>
        <x:v>0.1529051987767584</x:v>
      </x:c>
      <x:c r="Q288" s="30" t="n">
        <x:f>IFERROR(K288/J288,0)</x:f>
        <x:v>0.52</x:v>
      </x:c>
      <x:c r="R288" s="30" t="n">
        <x:f>IFERROR(L288/K288,0)</x:f>
        <x:v>0.6538461538461539</x:v>
      </x:c>
      <x:c r="S288" s="28" t="n">
        <x:f>IFERROR(N288/J288,0)</x:f>
        <x:v>444.4182</x:v>
      </x:c>
      <x:c r="T288" s="28" t="n">
        <x:f>IFERROR(N288/K288,0)</x:f>
        <x:v>854.6503846153846</x:v>
      </x:c>
      <x:c r="U288" s="28" t="n">
        <x:f>IFERROR(N288/L288,0)</x:f>
        <x:v>1307.1123529411764</x:v>
      </x:c>
    </x:row>
    <x:row r="289">
      <x:c r="A289" t="n">
        <x:v>288</x:v>
      </x:c>
      <x:c r="B289" s="26" t="n">
        <x:v>46096</x:v>
      </x:c>
      <x:c r="C289" t="str">
        <x:v>CPO_Salario</x:v>
      </x:c>
      <x:c r="D289" t="str">
        <x:v>TikTok Ads</x:v>
      </x:c>
      <x:c r="E289" t="str">
        <x:v>Funcionário Público</x:v>
      </x:c>
      <x:c r="F289" t="str">
        <x:v>Huambo</x:v>
      </x:c>
      <x:c r="G289" t="str">
        <x:v>iOS</x:v>
      </x:c>
      <x:c r="H289" t="n">
        <x:v>26870</x:v>
      </x:c>
      <x:c r="I289" t="n">
        <x:v>419</x:v>
      </x:c>
      <x:c r="J289" t="n">
        <x:v>31</x:v>
      </x:c>
      <x:c r="K289" t="n">
        <x:v>18</x:v>
      </x:c>
      <x:c r="L289" t="n">
        <x:v>11</x:v>
      </x:c>
      <x:c r="M289" s="28" t="n">
        <x:v>18971439.01</x:v>
      </x:c>
      <x:c r="N289" s="28" t="n">
        <x:v>77933.36</x:v>
      </x:c>
      <x:c r="O289" s="30" t="n">
        <x:f>IFERROR(I289/H289,0)</x:f>
        <x:v>0.01559359880908076</x:v>
      </x:c>
      <x:c r="P289" s="30" t="n">
        <x:f>IFERROR(J289/I289,0)</x:f>
        <x:v>0.07398568019093078</x:v>
      </x:c>
      <x:c r="Q289" s="30" t="n">
        <x:f>IFERROR(K289/J289,0)</x:f>
        <x:v>0.5806451612903226</x:v>
      </x:c>
      <x:c r="R289" s="30" t="n">
        <x:f>IFERROR(L289/K289,0)</x:f>
        <x:v>0.6111111111111112</x:v>
      </x:c>
      <x:c r="S289" s="28" t="n">
        <x:f>IFERROR(N289/J289,0)</x:f>
        <x:v>2513.9793548387097</x:v>
      </x:c>
      <x:c r="T289" s="28" t="n">
        <x:f>IFERROR(N289/K289,0)</x:f>
        <x:v>4329.631111111111</x:v>
      </x:c>
      <x:c r="U289" s="28" t="n">
        <x:f>IFERROR(N289/L289,0)</x:f>
        <x:v>7084.850909090909</x:v>
      </x:c>
    </x:row>
    <x:row r="290">
      <x:c r="A290" t="n">
        <x:v>289</x:v>
      </x:c>
      <x:c r="B290" s="26" t="n">
        <x:v>46096</x:v>
      </x:c>
      <x:c r="C290" t="str">
        <x:v>CPO_Fim_do_Mes</x:v>
      </x:c>
      <x:c r="D290" t="str">
        <x:v>BAI Directo/App</x:v>
      </x:c>
      <x:c r="E290" t="str">
        <x:v>Jovem Profissional</x:v>
      </x:c>
      <x:c r="F290" t="str">
        <x:v>Huíla</x:v>
      </x:c>
      <x:c r="G290" t="str">
        <x:v>Android</x:v>
      </x:c>
      <x:c r="H290" t="n">
        <x:v>7033</x:v>
      </x:c>
      <x:c r="I290" t="n">
        <x:v>826</x:v>
      </x:c>
      <x:c r="J290" t="n">
        <x:v>122</x:v>
      </x:c>
      <x:c r="K290" t="n">
        <x:v>79</x:v>
      </x:c>
      <x:c r="L290" t="n">
        <x:v>36</x:v>
      </x:c>
      <x:c r="M290" s="28" t="n">
        <x:v>45835472.41</x:v>
      </x:c>
      <x:c r="N290" s="28" t="n">
        <x:v>40371.32</x:v>
      </x:c>
      <x:c r="O290" s="30" t="n">
        <x:f>IFERROR(I290/H290,0)</x:f>
        <x:v>0.11744632447035405</x:v>
      </x:c>
      <x:c r="P290" s="30" t="n">
        <x:f>IFERROR(J290/I290,0)</x:f>
        <x:v>0.14769975786924938</x:v>
      </x:c>
      <x:c r="Q290" s="30" t="n">
        <x:f>IFERROR(K290/J290,0)</x:f>
        <x:v>0.6475409836065574</x:v>
      </x:c>
      <x:c r="R290" s="30" t="n">
        <x:f>IFERROR(L290/K290,0)</x:f>
        <x:v>0.45569620253164556</x:v>
      </x:c>
      <x:c r="S290" s="28" t="n">
        <x:f>IFERROR(N290/J290,0)</x:f>
        <x:v>330.9124590163934</x:v>
      </x:c>
      <x:c r="T290" s="28" t="n">
        <x:f>IFERROR(N290/K290,0)</x:f>
        <x:v>511.0293670886076</x:v>
      </x:c>
      <x:c r="U290" s="28" t="n">
        <x:f>IFERROR(N290/L290,0)</x:f>
        <x:v>1121.4255555555555</x:v>
      </x:c>
    </x:row>
    <x:row r="291">
      <x:c r="A291" t="n">
        <x:v>290</x:v>
      </x:c>
      <x:c r="B291" s="26" t="n">
        <x:v>46096</x:v>
      </x:c>
      <x:c r="C291" t="str">
        <x:v>CPO_Salario</x:v>
      </x:c>
      <x:c r="D291" t="str">
        <x:v>BAI Directo/App</x:v>
      </x:c>
      <x:c r="E291" t="str">
        <x:v>Jovem Profissional</x:v>
      </x:c>
      <x:c r="F291" t="str">
        <x:v>Luanda</x:v>
      </x:c>
      <x:c r="G291" t="str">
        <x:v>iOS</x:v>
      </x:c>
      <x:c r="H291" t="n">
        <x:v>1559</x:v>
      </x:c>
      <x:c r="I291" t="n">
        <x:v>239</x:v>
      </x:c>
      <x:c r="J291" t="n">
        <x:v>57</x:v>
      </x:c>
      <x:c r="K291" t="n">
        <x:v>30</x:v>
      </x:c>
      <x:c r="L291" t="n">
        <x:v>16</x:v>
      </x:c>
      <x:c r="M291" s="28" t="n">
        <x:v>20708163.85</x:v>
      </x:c>
      <x:c r="N291" s="28" t="n">
        <x:v>15809.1</x:v>
      </x:c>
      <x:c r="O291" s="30" t="n">
        <x:f>IFERROR(I291/H291,0)</x:f>
        <x:v>0.15330339961513792</x:v>
      </x:c>
      <x:c r="P291" s="30" t="n">
        <x:f>IFERROR(J291/I291,0)</x:f>
        <x:v>0.2384937238493724</x:v>
      </x:c>
      <x:c r="Q291" s="30" t="n">
        <x:f>IFERROR(K291/J291,0)</x:f>
        <x:v>0.5263157894736842</x:v>
      </x:c>
      <x:c r="R291" s="30" t="n">
        <x:f>IFERROR(L291/K291,0)</x:f>
        <x:v>0.5333333333333333</x:v>
      </x:c>
      <x:c r="S291" s="28" t="n">
        <x:f>IFERROR(N291/J291,0)</x:f>
        <x:v>277.35263157894735</x:v>
      </x:c>
      <x:c r="T291" s="28" t="n">
        <x:f>IFERROR(N291/K291,0)</x:f>
        <x:v>526.97</x:v>
      </x:c>
      <x:c r="U291" s="28" t="n">
        <x:f>IFERROR(N291/L291,0)</x:f>
        <x:v>988.06875</x:v>
      </x:c>
    </x:row>
    <x:row r="292">
      <x:c r="A292" t="n">
        <x:v>291</x:v>
      </x:c>
      <x:c r="B292" s="26" t="n">
        <x:v>46096</x:v>
      </x:c>
      <x:c r="C292" t="str">
        <x:v>CPO_Digital_360</x:v>
      </x:c>
      <x:c r="D292" t="str">
        <x:v>Meta Ads</x:v>
      </x:c>
      <x:c r="E292" t="str">
        <x:v>Pequeno Negócio</x:v>
      </x:c>
      <x:c r="F292" t="str">
        <x:v>Huíla</x:v>
      </x:c>
      <x:c r="G292" t="str">
        <x:v>Android</x:v>
      </x:c>
      <x:c r="H292" t="n">
        <x:v>21155</x:v>
      </x:c>
      <x:c r="I292" t="n">
        <x:v>415</x:v>
      </x:c>
      <x:c r="J292" t="n">
        <x:v>54</x:v>
      </x:c>
      <x:c r="K292" t="n">
        <x:v>24</x:v>
      </x:c>
      <x:c r="L292" t="n">
        <x:v>15</x:v>
      </x:c>
      <x:c r="M292" s="28" t="n">
        <x:v>42459242.95</x:v>
      </x:c>
      <x:c r="N292" s="28" t="n">
        <x:v>34573.23</x:v>
      </x:c>
      <x:c r="O292" s="30" t="n">
        <x:f>IFERROR(I292/H292,0)</x:f>
        <x:v>0.019617111793902152</x:v>
      </x:c>
      <x:c r="P292" s="30" t="n">
        <x:f>IFERROR(J292/I292,0)</x:f>
        <x:v>0.13012048192771083</x:v>
      </x:c>
      <x:c r="Q292" s="30" t="n">
        <x:f>IFERROR(K292/J292,0)</x:f>
        <x:v>0.4444444444444444</x:v>
      </x:c>
      <x:c r="R292" s="30" t="n">
        <x:f>IFERROR(L292/K292,0)</x:f>
        <x:v>0.625</x:v>
      </x:c>
      <x:c r="S292" s="28" t="n">
        <x:f>IFERROR(N292/J292,0)</x:f>
        <x:v>640.245</x:v>
      </x:c>
      <x:c r="T292" s="28" t="n">
        <x:f>IFERROR(N292/K292,0)</x:f>
        <x:v>1440.5512500000002</x:v>
      </x:c>
      <x:c r="U292" s="28" t="n">
        <x:f>IFERROR(N292/L292,0)</x:f>
        <x:v>2304.882</x:v>
      </x:c>
    </x:row>
    <x:row r="293">
      <x:c r="A293" t="n">
        <x:v>292</x:v>
      </x:c>
      <x:c r="B293" s="26" t="n">
        <x:v>46096</x:v>
      </x:c>
      <x:c r="C293" t="str">
        <x:v>CPO_Fim_do_Mes</x:v>
      </x:c>
      <x:c r="D293" t="str">
        <x:v>E-mail</x:v>
      </x:c>
      <x:c r="E293" t="str">
        <x:v>Jovem Profissional</x:v>
      </x:c>
      <x:c r="F293" t="str">
        <x:v>Luanda</x:v>
      </x:c>
      <x:c r="G293" t="str">
        <x:v>iOS</x:v>
      </x:c>
      <x:c r="H293" t="n">
        <x:v>5959</x:v>
      </x:c>
      <x:c r="I293" t="n">
        <x:v>303</x:v>
      </x:c>
      <x:c r="J293" t="n">
        <x:v>28</x:v>
      </x:c>
      <x:c r="K293" t="n">
        <x:v>15</x:v>
      </x:c>
      <x:c r="L293" t="n">
        <x:v>8</x:v>
      </x:c>
      <x:c r="M293" s="28" t="n">
        <x:v>11488211.36</x:v>
      </x:c>
      <x:c r="N293" s="28" t="n">
        <x:v>94929.54</x:v>
      </x:c>
      <x:c r="O293" s="30" t="n">
        <x:f>IFERROR(I293/H293,0)</x:f>
        <x:v>0.05084745762711865</x:v>
      </x:c>
      <x:c r="P293" s="30" t="n">
        <x:f>IFERROR(J293/I293,0)</x:f>
        <x:v>0.0924092409240924</x:v>
      </x:c>
      <x:c r="Q293" s="30" t="n">
        <x:f>IFERROR(K293/J293,0)</x:f>
        <x:v>0.5357142857142857</x:v>
      </x:c>
      <x:c r="R293" s="30" t="n">
        <x:f>IFERROR(L293/K293,0)</x:f>
        <x:v>0.5333333333333333</x:v>
      </x:c>
      <x:c r="S293" s="28" t="n">
        <x:f>IFERROR(N293/J293,0)</x:f>
        <x:v>3390.340714285714</x:v>
      </x:c>
      <x:c r="T293" s="28" t="n">
        <x:f>IFERROR(N293/K293,0)</x:f>
        <x:v>6328.6359999999995</x:v>
      </x:c>
      <x:c r="U293" s="28" t="n">
        <x:f>IFERROR(N293/L293,0)</x:f>
        <x:v>11866.1925</x:v>
      </x:c>
    </x:row>
    <x:row r="294">
      <x:c r="A294" t="n">
        <x:v>293</x:v>
      </x:c>
      <x:c r="B294" s="26" t="n">
        <x:v>46097</x:v>
      </x:c>
      <x:c r="C294" t="str">
        <x:v>CPO_Acesso_Rapido</x:v>
      </x:c>
      <x:c r="D294" t="str">
        <x:v>BAI Directo/App</x:v>
      </x:c>
      <x:c r="E294" t="str">
        <x:v>Pequeno Negócio</x:v>
      </x:c>
      <x:c r="F294" t="str">
        <x:v>Cuanza Sul</x:v>
      </x:c>
      <x:c r="G294" t="str">
        <x:v>Android</x:v>
      </x:c>
      <x:c r="H294" t="n">
        <x:v>4697</x:v>
      </x:c>
      <x:c r="I294" t="n">
        <x:v>547</x:v>
      </x:c>
      <x:c r="J294" t="n">
        <x:v>139</x:v>
      </x:c>
      <x:c r="K294" t="n">
        <x:v>56</x:v>
      </x:c>
      <x:c r="L294" t="n">
        <x:v>33</x:v>
      </x:c>
      <x:c r="M294" s="28" t="n">
        <x:v>97988360.51</x:v>
      </x:c>
      <x:c r="N294" s="28" t="n">
        <x:v>82783.62</x:v>
      </x:c>
      <x:c r="O294" s="30" t="n">
        <x:f>IFERROR(I294/H294,0)</x:f>
        <x:v>0.11645731317862465</x:v>
      </x:c>
      <x:c r="P294" s="30" t="n">
        <x:f>IFERROR(J294/I294,0)</x:f>
        <x:v>0.25411334552102377</x:v>
      </x:c>
      <x:c r="Q294" s="30" t="n">
        <x:f>IFERROR(K294/J294,0)</x:f>
        <x:v>0.4028776978417266</x:v>
      </x:c>
      <x:c r="R294" s="30" t="n">
        <x:f>IFERROR(L294/K294,0)</x:f>
        <x:v>0.5892857142857143</x:v>
      </x:c>
      <x:c r="S294" s="28" t="n">
        <x:f>IFERROR(N294/J294,0)</x:f>
        <x:v>595.5656115107913</x:v>
      </x:c>
      <x:c r="T294" s="28" t="n">
        <x:f>IFERROR(N294/K294,0)</x:f>
        <x:v>1478.2789285714284</x:v>
      </x:c>
      <x:c r="U294" s="28" t="n">
        <x:f>IFERROR(N294/L294,0)</x:f>
        <x:v>2508.5945454545454</x:v>
      </x:c>
    </x:row>
    <x:row r="295">
      <x:c r="A295" t="n">
        <x:v>294</x:v>
      </x:c>
      <x:c r="B295" s="26" t="n">
        <x:v>46097</x:v>
      </x:c>
      <x:c r="C295" t="str">
        <x:v>CPO_Always_On</x:v>
      </x:c>
      <x:c r="D295" t="str">
        <x:v>TikTok Ads</x:v>
      </x:c>
      <x:c r="E295" t="str">
        <x:v>Assalariado</x:v>
      </x:c>
      <x:c r="F295" t="str">
        <x:v>Cuanza Sul</x:v>
      </x:c>
      <x:c r="G295" t="str">
        <x:v>Android</x:v>
      </x:c>
      <x:c r="H295" t="n">
        <x:v>25983</x:v>
      </x:c>
      <x:c r="I295" t="n">
        <x:v>513</x:v>
      </x:c>
      <x:c r="J295" t="n">
        <x:v>41</x:v>
      </x:c>
      <x:c r="K295" t="n">
        <x:v>33</x:v>
      </x:c>
      <x:c r="L295" t="n">
        <x:v>25</x:v>
      </x:c>
      <x:c r="M295" s="28" t="n">
        <x:v>58896269.85</x:v>
      </x:c>
      <x:c r="N295" s="28" t="n">
        <x:v>63096.37</x:v>
      </x:c>
      <x:c r="O295" s="30" t="n">
        <x:f>IFERROR(I295/H295,0)</x:f>
        <x:v>0.019743678559057846</x:v>
      </x:c>
      <x:c r="P295" s="30" t="n">
        <x:f>IFERROR(J295/I295,0)</x:f>
        <x:v>0.07992202729044834</x:v>
      </x:c>
      <x:c r="Q295" s="30" t="n">
        <x:f>IFERROR(K295/J295,0)</x:f>
        <x:v>0.8048780487804879</x:v>
      </x:c>
      <x:c r="R295" s="30" t="n">
        <x:f>IFERROR(L295/K295,0)</x:f>
        <x:v>0.7575757575757576</x:v>
      </x:c>
      <x:c r="S295" s="28" t="n">
        <x:f>IFERROR(N295/J295,0)</x:f>
        <x:v>1538.9358536585366</x:v>
      </x:c>
      <x:c r="T295" s="28" t="n">
        <x:f>IFERROR(N295/K295,0)</x:f>
        <x:v>1912.011212121212</x:v>
      </x:c>
      <x:c r="U295" s="28" t="n">
        <x:f>IFERROR(N295/L295,0)</x:f>
        <x:v>2523.8548</x:v>
      </x:c>
    </x:row>
    <x:row r="296">
      <x:c r="A296" t="n">
        <x:v>295</x:v>
      </x:c>
      <x:c r="B296" s="26" t="n">
        <x:v>46097</x:v>
      </x:c>
      <x:c r="C296" t="str">
        <x:v>CPO_Always_On</x:v>
      </x:c>
      <x:c r="D296" t="str">
        <x:v>SMS</x:v>
      </x:c>
      <x:c r="E296" t="str">
        <x:v>Premium</x:v>
      </x:c>
      <x:c r="F296" t="str">
        <x:v>Luanda</x:v>
      </x:c>
      <x:c r="G296" t="str">
        <x:v>Android</x:v>
      </x:c>
      <x:c r="H296" t="n">
        <x:v>2112</x:v>
      </x:c>
      <x:c r="I296" t="n">
        <x:v>149</x:v>
      </x:c>
      <x:c r="J296" t="n">
        <x:v>25</x:v>
      </x:c>
      <x:c r="K296" t="n">
        <x:v>17</x:v>
      </x:c>
      <x:c r="L296" t="n">
        <x:v>13</x:v>
      </x:c>
      <x:c r="M296" s="28" t="n">
        <x:v>75769286.55</x:v>
      </x:c>
      <x:c r="N296" s="28" t="n">
        <x:v>28873.24</x:v>
      </x:c>
      <x:c r="O296" s="30" t="n">
        <x:f>IFERROR(I296/H296,0)</x:f>
        <x:v>0.07054924242424243</x:v>
      </x:c>
      <x:c r="P296" s="30" t="n">
        <x:f>IFERROR(J296/I296,0)</x:f>
        <x:v>0.16778523489932887</x:v>
      </x:c>
      <x:c r="Q296" s="30" t="n">
        <x:f>IFERROR(K296/J296,0)</x:f>
        <x:v>0.68</x:v>
      </x:c>
      <x:c r="R296" s="30" t="n">
        <x:f>IFERROR(L296/K296,0)</x:f>
        <x:v>0.7647058823529411</x:v>
      </x:c>
      <x:c r="S296" s="28" t="n">
        <x:f>IFERROR(N296/J296,0)</x:f>
        <x:v>1154.9296000000002</x:v>
      </x:c>
      <x:c r="T296" s="28" t="n">
        <x:f>IFERROR(N296/K296,0)</x:f>
        <x:v>1698.4258823529412</x:v>
      </x:c>
      <x:c r="U296" s="28" t="n">
        <x:f>IFERROR(N296/L296,0)</x:f>
        <x:v>2221.0184615384615</x:v>
      </x:c>
    </x:row>
    <x:row r="297">
      <x:c r="A297" t="n">
        <x:v>296</x:v>
      </x:c>
      <x:c r="B297" s="26" t="n">
        <x:v>46097</x:v>
      </x:c>
      <x:c r="C297" t="str">
        <x:v>CPO_Salario</x:v>
      </x:c>
      <x:c r="D297" t="str">
        <x:v>TikTok Ads</x:v>
      </x:c>
      <x:c r="E297" t="str">
        <x:v>Premium</x:v>
      </x:c>
      <x:c r="F297" t="str">
        <x:v>Uíge</x:v>
      </x:c>
      <x:c r="G297" t="str">
        <x:v>Android</x:v>
      </x:c>
      <x:c r="H297" t="n">
        <x:v>8533</x:v>
      </x:c>
      <x:c r="I297" t="n">
        <x:v>148</x:v>
      </x:c>
      <x:c r="J297" t="n">
        <x:v>11</x:v>
      </x:c>
      <x:c r="K297" t="n">
        <x:v>9</x:v>
      </x:c>
      <x:c r="L297" t="n">
        <x:v>6</x:v>
      </x:c>
      <x:c r="M297" s="28" t="n">
        <x:v>29182207.73</x:v>
      </x:c>
      <x:c r="N297" s="28" t="n">
        <x:v>15830.52</x:v>
      </x:c>
      <x:c r="O297" s="30" t="n">
        <x:f>IFERROR(I297/H297,0)</x:f>
        <x:v>0.01734442751669987</x:v>
      </x:c>
      <x:c r="P297" s="30" t="n">
        <x:f>IFERROR(J297/I297,0)</x:f>
        <x:v>0.07432432432432433</x:v>
      </x:c>
      <x:c r="Q297" s="30" t="n">
        <x:f>IFERROR(K297/J297,0)</x:f>
        <x:v>0.8181818181818182</x:v>
      </x:c>
      <x:c r="R297" s="30" t="n">
        <x:f>IFERROR(L297/K297,0)</x:f>
        <x:v>0.6666666666666666</x:v>
      </x:c>
      <x:c r="S297" s="28" t="n">
        <x:f>IFERROR(N297/J297,0)</x:f>
        <x:v>1439.138181818182</x:v>
      </x:c>
      <x:c r="T297" s="28" t="n">
        <x:f>IFERROR(N297/K297,0)</x:f>
        <x:v>1758.9466666666667</x:v>
      </x:c>
      <x:c r="U297" s="28" t="n">
        <x:f>IFERROR(N297/L297,0)</x:f>
        <x:v>2638.42</x:v>
      </x:c>
    </x:row>
    <x:row r="298">
      <x:c r="A298" t="n">
        <x:v>297</x:v>
      </x:c>
      <x:c r="B298" s="26" t="n">
        <x:v>46098</x:v>
      </x:c>
      <x:c r="C298" t="str">
        <x:v>CPO_Digital_360</x:v>
      </x:c>
      <x:c r="D298" t="str">
        <x:v>Meta Ads</x:v>
      </x:c>
      <x:c r="E298" t="str">
        <x:v>Pequeno Negócio</x:v>
      </x:c>
      <x:c r="F298" t="str">
        <x:v>Luanda</x:v>
      </x:c>
      <x:c r="G298" t="str">
        <x:v>Desktop</x:v>
      </x:c>
      <x:c r="H298" t="n">
        <x:v>3030</x:v>
      </x:c>
      <x:c r="I298" t="n">
        <x:v>72</x:v>
      </x:c>
      <x:c r="J298" t="n">
        <x:v>4</x:v>
      </x:c>
      <x:c r="K298" t="n">
        <x:v>1</x:v>
      </x:c>
      <x:c r="L298" t="n">
        <x:v>1</x:v>
      </x:c>
      <x:c r="M298" s="28" t="n">
        <x:v>2512398.6</x:v>
      </x:c>
      <x:c r="N298" s="28" t="n">
        <x:v>6654.61</x:v>
      </x:c>
      <x:c r="O298" s="30" t="n">
        <x:f>IFERROR(I298/H298,0)</x:f>
        <x:v>0.023762376237623763</x:v>
      </x:c>
      <x:c r="P298" s="30" t="n">
        <x:f>IFERROR(J298/I298,0)</x:f>
        <x:v>0.05555555555555555</x:v>
      </x:c>
      <x:c r="Q298" s="30" t="n">
        <x:f>IFERROR(K298/J298,0)</x:f>
        <x:v>0.25</x:v>
      </x:c>
      <x:c r="R298" s="30" t="n">
        <x:f>IFERROR(L298/K298,0)</x:f>
        <x:v>1</x:v>
      </x:c>
      <x:c r="S298" s="28" t="n">
        <x:f>IFERROR(N298/J298,0)</x:f>
        <x:v>1663.6525</x:v>
      </x:c>
      <x:c r="T298" s="28" t="n">
        <x:f>IFERROR(N298/K298,0)</x:f>
        <x:v>6654.61</x:v>
      </x:c>
      <x:c r="U298" s="28" t="n">
        <x:f>IFERROR(N298/L298,0)</x:f>
        <x:v>6654.61</x:v>
      </x:c>
    </x:row>
    <x:row r="299">
      <x:c r="A299" t="n">
        <x:v>298</x:v>
      </x:c>
      <x:c r="B299" s="26" t="n">
        <x:v>46098</x:v>
      </x:c>
      <x:c r="C299" t="str">
        <x:v>CPO_Acesso_Rapido</x:v>
      </x:c>
      <x:c r="D299" t="str">
        <x:v>E-mail</x:v>
      </x:c>
      <x:c r="E299" t="str">
        <x:v>Funcionário Público</x:v>
      </x:c>
      <x:c r="F299" t="str">
        <x:v>Luanda</x:v>
      </x:c>
      <x:c r="G299" t="str">
        <x:v>Android</x:v>
      </x:c>
      <x:c r="H299" t="n">
        <x:v>2137</x:v>
      </x:c>
      <x:c r="I299" t="n">
        <x:v>53</x:v>
      </x:c>
      <x:c r="J299" t="n">
        <x:v>4</x:v>
      </x:c>
      <x:c r="K299" t="n">
        <x:v>3</x:v>
      </x:c>
      <x:c r="L299" t="n">
        <x:v>2</x:v>
      </x:c>
      <x:c r="M299" s="28" t="n">
        <x:v>2871879.41</x:v>
      </x:c>
      <x:c r="N299" s="28" t="n">
        <x:v>9223.19</x:v>
      </x:c>
      <x:c r="O299" s="30" t="n">
        <x:f>IFERROR(I299/H299,0)</x:f>
        <x:v>0.024801123069723912</x:v>
      </x:c>
      <x:c r="P299" s="30" t="n">
        <x:f>IFERROR(J299/I299,0)</x:f>
        <x:v>0.07547169811320754</x:v>
      </x:c>
      <x:c r="Q299" s="30" t="n">
        <x:f>IFERROR(K299/J299,0)</x:f>
        <x:v>0.75</x:v>
      </x:c>
      <x:c r="R299" s="30" t="n">
        <x:f>IFERROR(L299/K299,0)</x:f>
        <x:v>0.6666666666666666</x:v>
      </x:c>
      <x:c r="S299" s="28" t="n">
        <x:f>IFERROR(N299/J299,0)</x:f>
        <x:v>2305.7975</x:v>
      </x:c>
      <x:c r="T299" s="28" t="n">
        <x:f>IFERROR(N299/K299,0)</x:f>
        <x:v>3074.396666666667</x:v>
      </x:c>
      <x:c r="U299" s="28" t="n">
        <x:f>IFERROR(N299/L299,0)</x:f>
        <x:v>4611.595</x:v>
      </x:c>
    </x:row>
    <x:row r="300">
      <x:c r="A300" t="n">
        <x:v>299</x:v>
      </x:c>
      <x:c r="B300" s="26" t="n">
        <x:v>46098</x:v>
      </x:c>
      <x:c r="C300" t="str">
        <x:v>CPO_Acesso_Rapido</x:v>
      </x:c>
      <x:c r="D300" t="str">
        <x:v>SMS</x:v>
      </x:c>
      <x:c r="E300" t="str">
        <x:v>Pequeno Negócio</x:v>
      </x:c>
      <x:c r="F300" t="str">
        <x:v>Huíla</x:v>
      </x:c>
      <x:c r="G300" t="str">
        <x:v>Android</x:v>
      </x:c>
      <x:c r="H300" t="n">
        <x:v>7960</x:v>
      </x:c>
      <x:c r="I300" t="n">
        <x:v>745</x:v>
      </x:c>
      <x:c r="J300" t="n">
        <x:v>79</x:v>
      </x:c>
      <x:c r="K300" t="n">
        <x:v>48</x:v>
      </x:c>
      <x:c r="L300" t="n">
        <x:v>15</x:v>
      </x:c>
      <x:c r="M300" s="28" t="n">
        <x:v>45041442.53</x:v>
      </x:c>
      <x:c r="N300" s="28" t="n">
        <x:v>126035.61</x:v>
      </x:c>
      <x:c r="O300" s="30" t="n">
        <x:f>IFERROR(I300/H300,0)</x:f>
        <x:v>0.0935929648241206</x:v>
      </x:c>
      <x:c r="P300" s="30" t="n">
        <x:f>IFERROR(J300/I300,0)</x:f>
        <x:v>0.10604026845637583</x:v>
      </x:c>
      <x:c r="Q300" s="30" t="n">
        <x:f>IFERROR(K300/J300,0)</x:f>
        <x:v>0.6075949367088608</x:v>
      </x:c>
      <x:c r="R300" s="30" t="n">
        <x:f>IFERROR(L300/K300,0)</x:f>
        <x:v>0.3125</x:v>
      </x:c>
      <x:c r="S300" s="28" t="n">
        <x:f>IFERROR(N300/J300,0)</x:f>
        <x:v>1595.3874683544304</x:v>
      </x:c>
      <x:c r="T300" s="28" t="n">
        <x:f>IFERROR(N300/K300,0)</x:f>
        <x:v>2625.741875</x:v>
      </x:c>
      <x:c r="U300" s="28" t="n">
        <x:f>IFERROR(N300/L300,0)</x:f>
        <x:v>8402.374</x:v>
      </x:c>
    </x:row>
    <x:row r="301">
      <x:c r="A301" t="n">
        <x:v>300</x:v>
      </x:c>
      <x:c r="B301" s="26" t="n">
        <x:v>46098</x:v>
      </x:c>
      <x:c r="C301" t="str">
        <x:v>CPO_Salario</x:v>
      </x:c>
      <x:c r="D301" t="str">
        <x:v>E-mail</x:v>
      </x:c>
      <x:c r="E301" t="str">
        <x:v>Premium</x:v>
      </x:c>
      <x:c r="F301" t="str">
        <x:v>Benguela</x:v>
      </x:c>
      <x:c r="G301" t="str">
        <x:v>iOS</x:v>
      </x:c>
      <x:c r="H301" t="n">
        <x:v>10311</x:v>
      </x:c>
      <x:c r="I301" t="n">
        <x:v>631</x:v>
      </x:c>
      <x:c r="J301" t="n">
        <x:v>85</x:v>
      </x:c>
      <x:c r="K301" t="n">
        <x:v>56</x:v>
      </x:c>
      <x:c r="L301" t="n">
        <x:v>41</x:v>
      </x:c>
      <x:c r="M301" s="28" t="n">
        <x:v>232829326.93</x:v>
      </x:c>
      <x:c r="N301" s="28" t="n">
        <x:v>176425.71</x:v>
      </x:c>
      <x:c r="O301" s="30" t="n">
        <x:f>IFERROR(I301/H301,0)</x:f>
        <x:v>0.061196780137717004</x:v>
      </x:c>
      <x:c r="P301" s="30" t="n">
        <x:f>IFERROR(J301/I301,0)</x:f>
        <x:v>0.1347068145800317</x:v>
      </x:c>
      <x:c r="Q301" s="30" t="n">
        <x:f>IFERROR(K301/J301,0)</x:f>
        <x:v>0.6588235294117647</x:v>
      </x:c>
      <x:c r="R301" s="30" t="n">
        <x:f>IFERROR(L301/K301,0)</x:f>
        <x:v>0.7321428571428571</x:v>
      </x:c>
      <x:c r="S301" s="28" t="n">
        <x:f>IFERROR(N301/J301,0)</x:f>
        <x:v>2075.596588235294</x:v>
      </x:c>
      <x:c r="T301" s="28" t="n">
        <x:f>IFERROR(N301/K301,0)</x:f>
        <x:v>3150.459107142857</x:v>
      </x:c>
      <x:c r="U301" s="28" t="n">
        <x:f>IFERROR(N301/L301,0)</x:f>
        <x:v>4303.066097560975</x:v>
      </x:c>
    </x:row>
    <x:row r="302">
      <x:c r="A302" t="n">
        <x:v>301</x:v>
      </x:c>
      <x:c r="B302" s="26" t="n">
        <x:v>46099</x:v>
      </x:c>
      <x:c r="C302" t="str">
        <x:v>CPO_Salario</x:v>
      </x:c>
      <x:c r="D302" t="str">
        <x:v>E-mail</x:v>
      </x:c>
      <x:c r="E302" t="str">
        <x:v>Premium</x:v>
      </x:c>
      <x:c r="F302" t="str">
        <x:v>Huambo</x:v>
      </x:c>
      <x:c r="G302" t="str">
        <x:v>Android</x:v>
      </x:c>
      <x:c r="H302" t="n">
        <x:v>4346</x:v>
      </x:c>
      <x:c r="I302" t="n">
        <x:v>333</x:v>
      </x:c>
      <x:c r="J302" t="n">
        <x:v>32</x:v>
      </x:c>
      <x:c r="K302" t="n">
        <x:v>22</x:v>
      </x:c>
      <x:c r="L302" t="n">
        <x:v>18</x:v>
      </x:c>
      <x:c r="M302" s="28" t="n">
        <x:v>93457271.72</x:v>
      </x:c>
      <x:c r="N302" s="28" t="n">
        <x:v>30946.74</x:v>
      </x:c>
      <x:c r="O302" s="30" t="n">
        <x:f>IFERROR(I302/H302,0)</x:f>
        <x:v>0.07662218131615278</x:v>
      </x:c>
      <x:c r="P302" s="30" t="n">
        <x:f>IFERROR(J302/I302,0)</x:f>
        <x:v>0.0960960960960961</x:v>
      </x:c>
      <x:c r="Q302" s="30" t="n">
        <x:f>IFERROR(K302/J302,0)</x:f>
        <x:v>0.6875</x:v>
      </x:c>
      <x:c r="R302" s="30" t="n">
        <x:f>IFERROR(L302/K302,0)</x:f>
        <x:v>0.8181818181818182</x:v>
      </x:c>
      <x:c r="S302" s="28" t="n">
        <x:f>IFERROR(N302/J302,0)</x:f>
        <x:v>967.085625</x:v>
      </x:c>
      <x:c r="T302" s="28" t="n">
        <x:f>IFERROR(N302/K302,0)</x:f>
        <x:v>1406.67</x:v>
      </x:c>
      <x:c r="U302" s="28" t="n">
        <x:f>IFERROR(N302/L302,0)</x:f>
        <x:v>1719.2633333333333</x:v>
      </x:c>
    </x:row>
    <x:row r="303">
      <x:c r="A303" t="n">
        <x:v>302</x:v>
      </x:c>
      <x:c r="B303" s="26" t="n">
        <x:v>46099</x:v>
      </x:c>
      <x:c r="C303" t="str">
        <x:v>CPO_Salario</x:v>
      </x:c>
      <x:c r="D303" t="str">
        <x:v>BAI Directo/App</x:v>
      </x:c>
      <x:c r="E303" t="str">
        <x:v>Premium</x:v>
      </x:c>
      <x:c r="F303" t="str">
        <x:v>Luanda</x:v>
      </x:c>
      <x:c r="G303" t="str">
        <x:v>Desktop</x:v>
      </x:c>
      <x:c r="H303" t="n">
        <x:v>10150</x:v>
      </x:c>
      <x:c r="I303" t="n">
        <x:v>1413</x:v>
      </x:c>
      <x:c r="J303" t="n">
        <x:v>300</x:v>
      </x:c>
      <x:c r="K303" t="n">
        <x:v>234</x:v>
      </x:c>
      <x:c r="L303" t="n">
        <x:v>196</x:v>
      </x:c>
      <x:c r="M303" s="28" t="n">
        <x:v>1010774306.71</x:v>
      </x:c>
      <x:c r="N303" s="28" t="n">
        <x:v>91569.32</x:v>
      </x:c>
      <x:c r="O303" s="30" t="n">
        <x:f>IFERROR(I303/H303,0)</x:f>
        <x:v>0.13921182266009852</x:v>
      </x:c>
      <x:c r="P303" s="30" t="n">
        <x:f>IFERROR(J303/I303,0)</x:f>
        <x:v>0.21231422505307856</x:v>
      </x:c>
      <x:c r="Q303" s="30" t="n">
        <x:f>IFERROR(K303/J303,0)</x:f>
        <x:v>0.78</x:v>
      </x:c>
      <x:c r="R303" s="30" t="n">
        <x:f>IFERROR(L303/K303,0)</x:f>
        <x:v>0.8376068376068376</x:v>
      </x:c>
      <x:c r="S303" s="28" t="n">
        <x:f>IFERROR(N303/J303,0)</x:f>
        <x:v>305.23106666666666</x:v>
      </x:c>
      <x:c r="T303" s="28" t="n">
        <x:f>IFERROR(N303/K303,0)</x:f>
        <x:v>391.3218803418804</x:v>
      </x:c>
      <x:c r="U303" s="28" t="n">
        <x:f>IFERROR(N303/L303,0)</x:f>
        <x:v>467.1904081632653</x:v>
      </x:c>
    </x:row>
    <x:row r="304">
      <x:c r="A304" t="n">
        <x:v>303</x:v>
      </x:c>
      <x:c r="B304" s="26" t="n">
        <x:v>46099</x:v>
      </x:c>
      <x:c r="C304" t="str">
        <x:v>CPO_Premium</x:v>
      </x:c>
      <x:c r="D304" t="str">
        <x:v>BAI Directo/App</x:v>
      </x:c>
      <x:c r="E304" t="str">
        <x:v>Pequeno Negócio</x:v>
      </x:c>
      <x:c r="F304" t="str">
        <x:v>Malanje</x:v>
      </x:c>
      <x:c r="G304" t="str">
        <x:v>Android</x:v>
      </x:c>
      <x:c r="H304" t="n">
        <x:v>3233</x:v>
      </x:c>
      <x:c r="I304" t="n">
        <x:v>294</x:v>
      </x:c>
      <x:c r="J304" t="n">
        <x:v>45</x:v>
      </x:c>
      <x:c r="K304" t="n">
        <x:v>21</x:v>
      </x:c>
      <x:c r="L304" t="n">
        <x:v>10</x:v>
      </x:c>
      <x:c r="M304" s="28" t="n">
        <x:v>29588539.61</x:v>
      </x:c>
      <x:c r="N304" s="28" t="n">
        <x:v>57175.26</x:v>
      </x:c>
      <x:c r="O304" s="30" t="n">
        <x:f>IFERROR(I304/H304,0)</x:f>
        <x:v>0.09093721002165171</x:v>
      </x:c>
      <x:c r="P304" s="30" t="n">
        <x:f>IFERROR(J304/I304,0)</x:f>
        <x:v>0.15306122448979592</x:v>
      </x:c>
      <x:c r="Q304" s="30" t="n">
        <x:f>IFERROR(K304/J304,0)</x:f>
        <x:v>0.4666666666666667</x:v>
      </x:c>
      <x:c r="R304" s="30" t="n">
        <x:f>IFERROR(L304/K304,0)</x:f>
        <x:v>0.47619047619047616</x:v>
      </x:c>
      <x:c r="S304" s="28" t="n">
        <x:f>IFERROR(N304/J304,0)</x:f>
        <x:v>1270.5613333333333</x:v>
      </x:c>
      <x:c r="T304" s="28" t="n">
        <x:f>IFERROR(N304/K304,0)</x:f>
        <x:v>2722.631428571429</x:v>
      </x:c>
      <x:c r="U304" s="28" t="n">
        <x:f>IFERROR(N304/L304,0)</x:f>
        <x:v>5717.526</x:v>
      </x:c>
    </x:row>
    <x:row r="305">
      <x:c r="A305" t="n">
        <x:v>304</x:v>
      </x:c>
      <x:c r="B305" s="26" t="n">
        <x:v>46099</x:v>
      </x:c>
      <x:c r="C305" t="str">
        <x:v>CPO_Acesso_Rapido</x:v>
      </x:c>
      <x:c r="D305" t="str">
        <x:v>BAI Directo/App</x:v>
      </x:c>
      <x:c r="E305" t="str">
        <x:v>Premium</x:v>
      </x:c>
      <x:c r="F305" t="str">
        <x:v>Uíge</x:v>
      </x:c>
      <x:c r="G305" t="str">
        <x:v>Desktop</x:v>
      </x:c>
      <x:c r="H305" t="n">
        <x:v>7150</x:v>
      </x:c>
      <x:c r="I305" t="n">
        <x:v>856</x:v>
      </x:c>
      <x:c r="J305" t="n">
        <x:v>159</x:v>
      </x:c>
      <x:c r="K305" t="n">
        <x:v>108</x:v>
      </x:c>
      <x:c r="L305" t="n">
        <x:v>75</x:v>
      </x:c>
      <x:c r="M305" s="28" t="n">
        <x:v>413649713.39</x:v>
      </x:c>
      <x:c r="N305" s="28" t="n">
        <x:v>59242.59</x:v>
      </x:c>
      <x:c r="O305" s="30" t="n">
        <x:f>IFERROR(I305/H305,0)</x:f>
        <x:v>0.11972027972027972</x:v>
      </x:c>
      <x:c r="P305" s="30" t="n">
        <x:f>IFERROR(J305/I305,0)</x:f>
        <x:v>0.18574766355140188</x:v>
      </x:c>
      <x:c r="Q305" s="30" t="n">
        <x:f>IFERROR(K305/J305,0)</x:f>
        <x:v>0.6792452830188679</x:v>
      </x:c>
      <x:c r="R305" s="30" t="n">
        <x:f>IFERROR(L305/K305,0)</x:f>
        <x:v>0.6944444444444444</x:v>
      </x:c>
      <x:c r="S305" s="28" t="n">
        <x:f>IFERROR(N305/J305,0)</x:f>
        <x:v>372.5949056603773</x:v>
      </x:c>
      <x:c r="T305" s="28" t="n">
        <x:f>IFERROR(N305/K305,0)</x:f>
        <x:v>548.5425</x:v>
      </x:c>
      <x:c r="U305" s="28" t="n">
        <x:f>IFERROR(N305/L305,0)</x:f>
        <x:v>789.9011999999999</x:v>
      </x:c>
    </x:row>
    <x:row r="306">
      <x:c r="A306" t="n">
        <x:v>305</x:v>
      </x:c>
      <x:c r="B306" s="26" t="n">
        <x:v>46099</x:v>
      </x:c>
      <x:c r="C306" t="str">
        <x:v>CPO_Premium</x:v>
      </x:c>
      <x:c r="D306" t="str">
        <x:v>Google Ads</x:v>
      </x:c>
      <x:c r="E306" t="str">
        <x:v>Premium</x:v>
      </x:c>
      <x:c r="F306" t="str">
        <x:v>Luanda</x:v>
      </x:c>
      <x:c r="G306" t="str">
        <x:v>Android</x:v>
      </x:c>
      <x:c r="H306" t="n">
        <x:v>25408</x:v>
      </x:c>
      <x:c r="I306" t="n">
        <x:v>992</x:v>
      </x:c>
      <x:c r="J306" t="n">
        <x:v>181</x:v>
      </x:c>
      <x:c r="K306" t="n">
        <x:v>132</x:v>
      </x:c>
      <x:c r="L306" t="n">
        <x:v>103</x:v>
      </x:c>
      <x:c r="M306" s="28" t="n">
        <x:v>527259003.61</x:v>
      </x:c>
      <x:c r="N306" s="28" t="n">
        <x:v>113070.11</x:v>
      </x:c>
      <x:c r="O306" s="30" t="n">
        <x:f>IFERROR(I306/H306,0)</x:f>
        <x:v>0.03904282115869018</x:v>
      </x:c>
      <x:c r="P306" s="30" t="n">
        <x:f>IFERROR(J306/I306,0)</x:f>
        <x:v>0.18245967741935484</x:v>
      </x:c>
      <x:c r="Q306" s="30" t="n">
        <x:f>IFERROR(K306/J306,0)</x:f>
        <x:v>0.7292817679558011</x:v>
      </x:c>
      <x:c r="R306" s="30" t="n">
        <x:f>IFERROR(L306/K306,0)</x:f>
        <x:v>0.7803030303030303</x:v>
      </x:c>
      <x:c r="S306" s="28" t="n">
        <x:f>IFERROR(N306/J306,0)</x:f>
        <x:v>624.6967403314917</x:v>
      </x:c>
      <x:c r="T306" s="28" t="n">
        <x:f>IFERROR(N306/K306,0)</x:f>
        <x:v>856.5917424242424</x:v>
      </x:c>
      <x:c r="U306" s="28" t="n">
        <x:f>IFERROR(N306/L306,0)</x:f>
        <x:v>1097.7680582524272</x:v>
      </x:c>
    </x:row>
    <x:row r="307">
      <x:c r="A307" t="n">
        <x:v>306</x:v>
      </x:c>
      <x:c r="B307" s="26" t="n">
        <x:v>46100</x:v>
      </x:c>
      <x:c r="C307" t="str">
        <x:v>CPO_Always_On</x:v>
      </x:c>
      <x:c r="D307" t="str">
        <x:v>Meta Ads</x:v>
      </x:c>
      <x:c r="E307" t="str">
        <x:v>Pequeno Negócio</x:v>
      </x:c>
      <x:c r="F307" t="str">
        <x:v>Luanda</x:v>
      </x:c>
      <x:c r="G307" t="str">
        <x:v>Android</x:v>
      </x:c>
      <x:c r="H307" t="n">
        <x:v>23634</x:v>
      </x:c>
      <x:c r="I307" t="n">
        <x:v>630</x:v>
      </x:c>
      <x:c r="J307" t="n">
        <x:v>66</x:v>
      </x:c>
      <x:c r="K307" t="n">
        <x:v>30</x:v>
      </x:c>
      <x:c r="L307" t="n">
        <x:v>17</x:v>
      </x:c>
      <x:c r="M307" s="28" t="n">
        <x:v>52852672.42</x:v>
      </x:c>
      <x:c r="N307" s="28" t="n">
        <x:v>30869.16</x:v>
      </x:c>
      <x:c r="O307" s="30" t="n">
        <x:f>IFERROR(I307/H307,0)</x:f>
        <x:v>0.026656511805026657</x:v>
      </x:c>
      <x:c r="P307" s="30" t="n">
        <x:f>IFERROR(J307/I307,0)</x:f>
        <x:v>0.10476190476190476</x:v>
      </x:c>
      <x:c r="Q307" s="30" t="n">
        <x:f>IFERROR(K307/J307,0)</x:f>
        <x:v>0.45454545454545453</x:v>
      </x:c>
      <x:c r="R307" s="30" t="n">
        <x:f>IFERROR(L307/K307,0)</x:f>
        <x:v>0.5666666666666667</x:v>
      </x:c>
      <x:c r="S307" s="28" t="n">
        <x:f>IFERROR(N307/J307,0)</x:f>
        <x:v>467.71454545454543</x:v>
      </x:c>
      <x:c r="T307" s="28" t="n">
        <x:f>IFERROR(N307/K307,0)</x:f>
        <x:v>1028.972</x:v>
      </x:c>
      <x:c r="U307" s="28" t="n">
        <x:f>IFERROR(N307/L307,0)</x:f>
        <x:v>1815.8329411764705</x:v>
      </x:c>
    </x:row>
    <x:row r="308">
      <x:c r="A308" t="n">
        <x:v>307</x:v>
      </x:c>
      <x:c r="B308" s="26" t="n">
        <x:v>46100</x:v>
      </x:c>
      <x:c r="C308" t="str">
        <x:v>CPO_Salario</x:v>
      </x:c>
      <x:c r="D308" t="str">
        <x:v>E-mail</x:v>
      </x:c>
      <x:c r="E308" t="str">
        <x:v>Funcionário Público</x:v>
      </x:c>
      <x:c r="F308" t="str">
        <x:v>Luanda</x:v>
      </x:c>
      <x:c r="G308" t="str">
        <x:v>iOS</x:v>
      </x:c>
      <x:c r="H308" t="n">
        <x:v>7392</x:v>
      </x:c>
      <x:c r="I308" t="n">
        <x:v>597</x:v>
      </x:c>
      <x:c r="J308" t="n">
        <x:v>62</x:v>
      </x:c>
      <x:c r="K308" t="n">
        <x:v>48</x:v>
      </x:c>
      <x:c r="L308" t="n">
        <x:v>27</x:v>
      </x:c>
      <x:c r="M308" s="28" t="n">
        <x:v>50678562.09</x:v>
      </x:c>
      <x:c r="N308" s="28" t="n">
        <x:v>32056.04</x:v>
      </x:c>
      <x:c r="O308" s="30" t="n">
        <x:f>IFERROR(I308/H308,0)</x:f>
        <x:v>0.08076298701298701</x:v>
      </x:c>
      <x:c r="P308" s="30" t="n">
        <x:f>IFERROR(J308/I308,0)</x:f>
        <x:v>0.10385259631490787</x:v>
      </x:c>
      <x:c r="Q308" s="30" t="n">
        <x:f>IFERROR(K308/J308,0)</x:f>
        <x:v>0.7741935483870968</x:v>
      </x:c>
      <x:c r="R308" s="30" t="n">
        <x:f>IFERROR(L308/K308,0)</x:f>
        <x:v>0.5625</x:v>
      </x:c>
      <x:c r="S308" s="28" t="n">
        <x:f>IFERROR(N308/J308,0)</x:f>
        <x:v>517.0329032258064</x:v>
      </x:c>
      <x:c r="T308" s="28" t="n">
        <x:f>IFERROR(N308/K308,0)</x:f>
        <x:v>667.8341666666666</x:v>
      </x:c>
      <x:c r="U308" s="28" t="n">
        <x:f>IFERROR(N308/L308,0)</x:f>
        <x:v>1187.2607407407409</x:v>
      </x:c>
    </x:row>
    <x:row r="309">
      <x:c r="A309" t="n">
        <x:v>308</x:v>
      </x:c>
      <x:c r="B309" s="26" t="n">
        <x:v>46100</x:v>
      </x:c>
      <x:c r="C309" t="str">
        <x:v>CPO_Premium</x:v>
      </x:c>
      <x:c r="D309" t="str">
        <x:v>SMS</x:v>
      </x:c>
      <x:c r="E309" t="str">
        <x:v>Pequeno Negócio</x:v>
      </x:c>
      <x:c r="F309" t="str">
        <x:v>Huambo</x:v>
      </x:c>
      <x:c r="G309" t="str">
        <x:v>iOS</x:v>
      </x:c>
      <x:c r="H309" t="n">
        <x:v>7147</x:v>
      </x:c>
      <x:c r="I309" t="n">
        <x:v>583</x:v>
      </x:c>
      <x:c r="J309" t="n">
        <x:v>69</x:v>
      </x:c>
      <x:c r="K309" t="n">
        <x:v>29</x:v>
      </x:c>
      <x:c r="L309" t="n">
        <x:v>15</x:v>
      </x:c>
      <x:c r="M309" s="28" t="n">
        <x:v>49170019.79</x:v>
      </x:c>
      <x:c r="N309" s="28" t="n">
        <x:v>61444.22</x:v>
      </x:c>
      <x:c r="O309" s="30" t="n">
        <x:f>IFERROR(I309/H309,0)</x:f>
        <x:v>0.08157268784105219</x:v>
      </x:c>
      <x:c r="P309" s="30" t="n">
        <x:f>IFERROR(J309/I309,0)</x:f>
        <x:v>0.1183533447684391</x:v>
      </x:c>
      <x:c r="Q309" s="30" t="n">
        <x:f>IFERROR(K309/J309,0)</x:f>
        <x:v>0.42028985507246375</x:v>
      </x:c>
      <x:c r="R309" s="30" t="n">
        <x:f>IFERROR(L309/K309,0)</x:f>
        <x:v>0.5172413793103449</x:v>
      </x:c>
      <x:c r="S309" s="28" t="n">
        <x:f>IFERROR(N309/J309,0)</x:f>
        <x:v>890.4959420289855</x:v>
      </x:c>
      <x:c r="T309" s="28" t="n">
        <x:f>IFERROR(N309/K309,0)</x:f>
        <x:v>2118.766206896552</x:v>
      </x:c>
      <x:c r="U309" s="28" t="n">
        <x:f>IFERROR(N309/L309,0)</x:f>
        <x:v>4096.281333333333</x:v>
      </x:c>
    </x:row>
    <x:row r="310">
      <x:c r="A310" t="n">
        <x:v>309</x:v>
      </x:c>
      <x:c r="B310" s="26" t="n">
        <x:v>46100</x:v>
      </x:c>
      <x:c r="C310" t="str">
        <x:v>CPO_Acesso_Rapido</x:v>
      </x:c>
      <x:c r="D310" t="str">
        <x:v>Google Ads</x:v>
      </x:c>
      <x:c r="E310" t="str">
        <x:v>Assalariado</x:v>
      </x:c>
      <x:c r="F310" t="str">
        <x:v>Malanje</x:v>
      </x:c>
      <x:c r="G310" t="str">
        <x:v>Android</x:v>
      </x:c>
      <x:c r="H310" t="n">
        <x:v>13210</x:v>
      </x:c>
      <x:c r="I310" t="n">
        <x:v>406</x:v>
      </x:c>
      <x:c r="J310" t="n">
        <x:v>63</x:v>
      </x:c>
      <x:c r="K310" t="n">
        <x:v>44</x:v>
      </x:c>
      <x:c r="L310" t="n">
        <x:v>34</x:v>
      </x:c>
      <x:c r="M310" s="28" t="n">
        <x:v>75060439.27</x:v>
      </x:c>
      <x:c r="N310" s="28" t="n">
        <x:v>72937.06</x:v>
      </x:c>
      <x:c r="O310" s="30" t="n">
        <x:f>IFERROR(I310/H310,0)</x:f>
        <x:v>0.030734292202876608</x:v>
      </x:c>
      <x:c r="P310" s="30" t="n">
        <x:f>IFERROR(J310/I310,0)</x:f>
        <x:v>0.15517241379310345</x:v>
      </x:c>
      <x:c r="Q310" s="30" t="n">
        <x:f>IFERROR(K310/J310,0)</x:f>
        <x:v>0.6984126984126984</x:v>
      </x:c>
      <x:c r="R310" s="30" t="n">
        <x:f>IFERROR(L310/K310,0)</x:f>
        <x:v>0.7727272727272727</x:v>
      </x:c>
      <x:c r="S310" s="28" t="n">
        <x:f>IFERROR(N310/J310,0)</x:f>
        <x:v>1157.731111111111</x:v>
      </x:c>
      <x:c r="T310" s="28" t="n">
        <x:f>IFERROR(N310/K310,0)</x:f>
        <x:v>1657.6604545454545</x:v>
      </x:c>
      <x:c r="U310" s="28" t="n">
        <x:f>IFERROR(N310/L310,0)</x:f>
        <x:v>2145.2076470588236</x:v>
      </x:c>
    </x:row>
    <x:row r="311">
      <x:c r="A311" t="n">
        <x:v>310</x:v>
      </x:c>
      <x:c r="B311" s="26" t="n">
        <x:v>46101</x:v>
      </x:c>
      <x:c r="C311" t="str">
        <x:v>CPO_Acesso_Rapido</x:v>
      </x:c>
      <x:c r="D311" t="str">
        <x:v>SMS</x:v>
      </x:c>
      <x:c r="E311" t="str">
        <x:v>Funcionário Público</x:v>
      </x:c>
      <x:c r="F311" t="str">
        <x:v>Malanje</x:v>
      </x:c>
      <x:c r="G311" t="str">
        <x:v>iOS</x:v>
      </x:c>
      <x:c r="H311" t="n">
        <x:v>6443</x:v>
      </x:c>
      <x:c r="I311" t="n">
        <x:v>411</x:v>
      </x:c>
      <x:c r="J311" t="n">
        <x:v>54</x:v>
      </x:c>
      <x:c r="K311" t="n">
        <x:v>40</x:v>
      </x:c>
      <x:c r="L311" t="n">
        <x:v>32</x:v>
      </x:c>
      <x:c r="M311" s="28" t="n">
        <x:v>52289262.46</x:v>
      </x:c>
      <x:c r="N311" s="28" t="n">
        <x:v>47084.86</x:v>
      </x:c>
      <x:c r="O311" s="30" t="n">
        <x:f>IFERROR(I311/H311,0)</x:f>
        <x:v>0.06379015986341766</x:v>
      </x:c>
      <x:c r="P311" s="30" t="n">
        <x:f>IFERROR(J311/I311,0)</x:f>
        <x:v>0.13138686131386862</x:v>
      </x:c>
      <x:c r="Q311" s="30" t="n">
        <x:f>IFERROR(K311/J311,0)</x:f>
        <x:v>0.7407407407407407</x:v>
      </x:c>
      <x:c r="R311" s="30" t="n">
        <x:f>IFERROR(L311/K311,0)</x:f>
        <x:v>0.8</x:v>
      </x:c>
      <x:c r="S311" s="28" t="n">
        <x:f>IFERROR(N311/J311,0)</x:f>
        <x:v>871.9418518518519</x:v>
      </x:c>
      <x:c r="T311" s="28" t="n">
        <x:f>IFERROR(N311/K311,0)</x:f>
        <x:v>1177.1215</x:v>
      </x:c>
      <x:c r="U311" s="28" t="n">
        <x:f>IFERROR(N311/L311,0)</x:f>
        <x:v>1471.401875</x:v>
      </x:c>
    </x:row>
    <x:row r="312">
      <x:c r="A312" t="n">
        <x:v>311</x:v>
      </x:c>
      <x:c r="B312" s="26" t="n">
        <x:v>46101</x:v>
      </x:c>
      <x:c r="C312" t="str">
        <x:v>CPO_Acesso_Rapido</x:v>
      </x:c>
      <x:c r="D312" t="str">
        <x:v>BAI Directo/App</x:v>
      </x:c>
      <x:c r="E312" t="str">
        <x:v>Assalariado</x:v>
      </x:c>
      <x:c r="F312" t="str">
        <x:v>Benguela</x:v>
      </x:c>
      <x:c r="G312" t="str">
        <x:v>Android</x:v>
      </x:c>
      <x:c r="H312" t="n">
        <x:v>5931</x:v>
      </x:c>
      <x:c r="I312" t="n">
        <x:v>656</x:v>
      </x:c>
      <x:c r="J312" t="n">
        <x:v>170</x:v>
      </x:c>
      <x:c r="K312" t="n">
        <x:v>103</x:v>
      </x:c>
      <x:c r="L312" t="n">
        <x:v>64</x:v>
      </x:c>
      <x:c r="M312" s="28" t="n">
        <x:v>137016434.58</x:v>
      </x:c>
      <x:c r="N312" s="28" t="n">
        <x:v>24067.2</x:v>
      </x:c>
      <x:c r="O312" s="30" t="n">
        <x:f>IFERROR(I312/H312,0)</x:f>
        <x:v>0.11060529421682684</x:v>
      </x:c>
      <x:c r="P312" s="30" t="n">
        <x:f>IFERROR(J312/I312,0)</x:f>
        <x:v>0.25914634146341464</x:v>
      </x:c>
      <x:c r="Q312" s="30" t="n">
        <x:f>IFERROR(K312/J312,0)</x:f>
        <x:v>0.6058823529411764</x:v>
      </x:c>
      <x:c r="R312" s="30" t="n">
        <x:f>IFERROR(L312/K312,0)</x:f>
        <x:v>0.6213592233009708</x:v>
      </x:c>
      <x:c r="S312" s="28" t="n">
        <x:f>IFERROR(N312/J312,0)</x:f>
        <x:v>141.57176470588234</x:v>
      </x:c>
      <x:c r="T312" s="28" t="n">
        <x:f>IFERROR(N312/K312,0)</x:f>
        <x:v>233.6621359223301</x:v>
      </x:c>
      <x:c r="U312" s="28" t="n">
        <x:f>IFERROR(N312/L312,0)</x:f>
        <x:v>376.05</x:v>
      </x:c>
    </x:row>
    <x:row r="313">
      <x:c r="A313" t="n">
        <x:v>312</x:v>
      </x:c>
      <x:c r="B313" s="26" t="n">
        <x:v>46101</x:v>
      </x:c>
      <x:c r="C313" t="str">
        <x:v>CPO_Acesso_Rapido</x:v>
      </x:c>
      <x:c r="D313" t="str">
        <x:v>Meta Ads</x:v>
      </x:c>
      <x:c r="E313" t="str">
        <x:v>Assalariado</x:v>
      </x:c>
      <x:c r="F313" t="str">
        <x:v>Luanda</x:v>
      </x:c>
      <x:c r="G313" t="str">
        <x:v>iOS</x:v>
      </x:c>
      <x:c r="H313" t="n">
        <x:v>8508</x:v>
      </x:c>
      <x:c r="I313" t="n">
        <x:v>201</x:v>
      </x:c>
      <x:c r="J313" t="n">
        <x:v>20</x:v>
      </x:c>
      <x:c r="K313" t="n">
        <x:v>13</x:v>
      </x:c>
      <x:c r="L313" t="n">
        <x:v>9</x:v>
      </x:c>
      <x:c r="M313" s="28" t="n">
        <x:v>16441901.88</x:v>
      </x:c>
      <x:c r="N313" s="28" t="n">
        <x:v>34855.8</x:v>
      </x:c>
      <x:c r="O313" s="30" t="n">
        <x:f>IFERROR(I313/H313,0)</x:f>
        <x:v>0.02362482369534556</x:v>
      </x:c>
      <x:c r="P313" s="30" t="n">
        <x:f>IFERROR(J313/I313,0)</x:f>
        <x:v>0.09950248756218906</x:v>
      </x:c>
      <x:c r="Q313" s="30" t="n">
        <x:f>IFERROR(K313/J313,0)</x:f>
        <x:v>0.65</x:v>
      </x:c>
      <x:c r="R313" s="30" t="n">
        <x:f>IFERROR(L313/K313,0)</x:f>
        <x:v>0.6923076923076923</x:v>
      </x:c>
      <x:c r="S313" s="28" t="n">
        <x:f>IFERROR(N313/J313,0)</x:f>
        <x:v>1742.7900000000002</x:v>
      </x:c>
      <x:c r="T313" s="28" t="n">
        <x:f>IFERROR(N313/K313,0)</x:f>
        <x:v>2681.2153846153847</x:v>
      </x:c>
      <x:c r="U313" s="28" t="n">
        <x:f>IFERROR(N313/L313,0)</x:f>
        <x:v>3872.866666666667</x:v>
      </x:c>
    </x:row>
    <x:row r="314">
      <x:c r="A314" t="n">
        <x:v>313</x:v>
      </x:c>
      <x:c r="B314" s="26" t="n">
        <x:v>46101</x:v>
      </x:c>
      <x:c r="C314" t="str">
        <x:v>CPO_Salario</x:v>
      </x:c>
      <x:c r="D314" t="str">
        <x:v>Google Ads</x:v>
      </x:c>
      <x:c r="E314" t="str">
        <x:v>Assalariado</x:v>
      </x:c>
      <x:c r="F314" t="str">
        <x:v>Benguela</x:v>
      </x:c>
      <x:c r="G314" t="str">
        <x:v>Android</x:v>
      </x:c>
      <x:c r="H314" t="n">
        <x:v>19481</x:v>
      </x:c>
      <x:c r="I314" t="n">
        <x:v>753</x:v>
      </x:c>
      <x:c r="J314" t="n">
        <x:v>120</x:v>
      </x:c>
      <x:c r="K314" t="n">
        <x:v>86</x:v>
      </x:c>
      <x:c r="L314" t="n">
        <x:v>61</x:v>
      </x:c>
      <x:c r="M314" s="28" t="n">
        <x:v>139387819.16</x:v>
      </x:c>
      <x:c r="N314" s="28" t="n">
        <x:v>64726.32</x:v>
      </x:c>
      <x:c r="O314" s="30" t="n">
        <x:f>IFERROR(I314/H314,0)</x:f>
        <x:v>0.0386530465581849</x:v>
      </x:c>
      <x:c r="P314" s="30" t="n">
        <x:f>IFERROR(J314/I314,0)</x:f>
        <x:v>0.1593625498007968</x:v>
      </x:c>
      <x:c r="Q314" s="30" t="n">
        <x:f>IFERROR(K314/J314,0)</x:f>
        <x:v>0.7166666666666667</x:v>
      </x:c>
      <x:c r="R314" s="30" t="n">
        <x:f>IFERROR(L314/K314,0)</x:f>
        <x:v>0.7093023255813954</x:v>
      </x:c>
      <x:c r="S314" s="28" t="n">
        <x:f>IFERROR(N314/J314,0)</x:f>
        <x:v>539.386</x:v>
      </x:c>
      <x:c r="T314" s="28" t="n">
        <x:f>IFERROR(N314/K314,0)</x:f>
        <x:v>752.6316279069767</x:v>
      </x:c>
      <x:c r="U314" s="28" t="n">
        <x:f>IFERROR(N314/L314,0)</x:f>
        <x:v>1061.0872131147541</x:v>
      </x:c>
    </x:row>
    <x:row r="315">
      <x:c r="A315" t="n">
        <x:v>314</x:v>
      </x:c>
      <x:c r="B315" s="26" t="n">
        <x:v>46101</x:v>
      </x:c>
      <x:c r="C315" t="str">
        <x:v>CPO_Always_On</x:v>
      </x:c>
      <x:c r="D315" t="str">
        <x:v>E-mail</x:v>
      </x:c>
      <x:c r="E315" t="str">
        <x:v>Funcionário Público</x:v>
      </x:c>
      <x:c r="F315" t="str">
        <x:v>Luanda</x:v>
      </x:c>
      <x:c r="G315" t="str">
        <x:v>iOS</x:v>
      </x:c>
      <x:c r="H315" t="n">
        <x:v>8937</x:v>
      </x:c>
      <x:c r="I315" t="n">
        <x:v>432</x:v>
      </x:c>
      <x:c r="J315" t="n">
        <x:v>38</x:v>
      </x:c>
      <x:c r="K315" t="n">
        <x:v>25</x:v>
      </x:c>
      <x:c r="L315" t="n">
        <x:v>20</x:v>
      </x:c>
      <x:c r="M315" s="28" t="n">
        <x:v>37548029.95</x:v>
      </x:c>
      <x:c r="N315" s="28" t="n">
        <x:v>74124.56</x:v>
      </x:c>
      <x:c r="O315" s="30" t="n">
        <x:f>IFERROR(I315/H315,0)</x:f>
        <x:v>0.04833836858006042</x:v>
      </x:c>
      <x:c r="P315" s="30" t="n">
        <x:f>IFERROR(J315/I315,0)</x:f>
        <x:v>0.08796296296296297</x:v>
      </x:c>
      <x:c r="Q315" s="30" t="n">
        <x:f>IFERROR(K315/J315,0)</x:f>
        <x:v>0.6578947368421053</x:v>
      </x:c>
      <x:c r="R315" s="30" t="n">
        <x:f>IFERROR(L315/K315,0)</x:f>
        <x:v>0.8</x:v>
      </x:c>
      <x:c r="S315" s="28" t="n">
        <x:f>IFERROR(N315/J315,0)</x:f>
        <x:v>1950.6463157894736</x:v>
      </x:c>
      <x:c r="T315" s="28" t="n">
        <x:f>IFERROR(N315/K315,0)</x:f>
        <x:v>2964.9824</x:v>
      </x:c>
      <x:c r="U315" s="28" t="n">
        <x:f>IFERROR(N315/L315,0)</x:f>
        <x:v>3706.228</x:v>
      </x:c>
    </x:row>
    <x:row r="316">
      <x:c r="A316" t="n">
        <x:v>315</x:v>
      </x:c>
      <x:c r="B316" s="26" t="n">
        <x:v>46102</x:v>
      </x:c>
      <x:c r="C316" t="str">
        <x:v>CPO_Premium</x:v>
      </x:c>
      <x:c r="D316" t="str">
        <x:v>SMS</x:v>
      </x:c>
      <x:c r="E316" t="str">
        <x:v>Funcionário Público</x:v>
      </x:c>
      <x:c r="F316" t="str">
        <x:v>Benguela</x:v>
      </x:c>
      <x:c r="G316" t="str">
        <x:v>Android</x:v>
      </x:c>
      <x:c r="H316" t="n">
        <x:v>8494</x:v>
      </x:c>
      <x:c r="I316" t="n">
        <x:v>897</x:v>
      </x:c>
      <x:c r="J316" t="n">
        <x:v>104</x:v>
      </x:c>
      <x:c r="K316" t="n">
        <x:v>78</x:v>
      </x:c>
      <x:c r="L316" t="n">
        <x:v>46</x:v>
      </x:c>
      <x:c r="M316" s="28" t="n">
        <x:v>82684669.2</x:v>
      </x:c>
      <x:c r="N316" s="28" t="n">
        <x:v>119168.82</x:v>
      </x:c>
      <x:c r="O316" s="30" t="n">
        <x:f>IFERROR(I316/H316,0)</x:f>
        <x:v>0.10560395573345892</x:v>
      </x:c>
      <x:c r="P316" s="30" t="n">
        <x:f>IFERROR(J316/I316,0)</x:f>
        <x:v>0.11594202898550725</x:v>
      </x:c>
      <x:c r="Q316" s="30" t="n">
        <x:f>IFERROR(K316/J316,0)</x:f>
        <x:v>0.75</x:v>
      </x:c>
      <x:c r="R316" s="30" t="n">
        <x:f>IFERROR(L316/K316,0)</x:f>
        <x:v>0.5897435897435898</x:v>
      </x:c>
      <x:c r="S316" s="28" t="n">
        <x:f>IFERROR(N316/J316,0)</x:f>
        <x:v>1145.8540384615385</x:v>
      </x:c>
      <x:c r="T316" s="28" t="n">
        <x:f>IFERROR(N316/K316,0)</x:f>
        <x:v>1527.8053846153848</x:v>
      </x:c>
      <x:c r="U316" s="28" t="n">
        <x:f>IFERROR(N316/L316,0)</x:f>
        <x:v>2590.6265217391306</x:v>
      </x:c>
    </x:row>
    <x:row r="317">
      <x:c r="A317" t="n">
        <x:v>316</x:v>
      </x:c>
      <x:c r="B317" s="26" t="n">
        <x:v>46102</x:v>
      </x:c>
      <x:c r="C317" t="str">
        <x:v>CPO_Acesso_Rapido</x:v>
      </x:c>
      <x:c r="D317" t="str">
        <x:v>Meta Ads</x:v>
      </x:c>
      <x:c r="E317" t="str">
        <x:v>Assalariado</x:v>
      </x:c>
      <x:c r="F317" t="str">
        <x:v>Cabinda</x:v>
      </x:c>
      <x:c r="G317" t="str">
        <x:v>Android</x:v>
      </x:c>
      <x:c r="H317" t="n">
        <x:v>4228</x:v>
      </x:c>
      <x:c r="I317" t="n">
        <x:v>70</x:v>
      </x:c>
      <x:c r="J317" t="n">
        <x:v>7</x:v>
      </x:c>
      <x:c r="K317" t="n">
        <x:v>5</x:v>
      </x:c>
      <x:c r="L317" t="n">
        <x:v>4</x:v>
      </x:c>
      <x:c r="M317" s="28" t="n">
        <x:v>6589918.05</x:v>
      </x:c>
      <x:c r="N317" s="28" t="n">
        <x:v>9475.8</x:v>
      </x:c>
      <x:c r="O317" s="30" t="n">
        <x:f>IFERROR(I317/H317,0)</x:f>
        <x:v>0.016556291390728478</x:v>
      </x:c>
      <x:c r="P317" s="30" t="n">
        <x:f>IFERROR(J317/I317,0)</x:f>
        <x:v>0.1</x:v>
      </x:c>
      <x:c r="Q317" s="30" t="n">
        <x:f>IFERROR(K317/J317,0)</x:f>
        <x:v>0.7142857142857143</x:v>
      </x:c>
      <x:c r="R317" s="30" t="n">
        <x:f>IFERROR(L317/K317,0)</x:f>
        <x:v>0.8</x:v>
      </x:c>
      <x:c r="S317" s="28" t="n">
        <x:f>IFERROR(N317/J317,0)</x:f>
        <x:v>1353.685714285714</x:v>
      </x:c>
      <x:c r="T317" s="28" t="n">
        <x:f>IFERROR(N317/K317,0)</x:f>
        <x:v>1895.1599999999999</x:v>
      </x:c>
      <x:c r="U317" s="28" t="n">
        <x:f>IFERROR(N317/L317,0)</x:f>
        <x:v>2368.95</x:v>
      </x:c>
    </x:row>
    <x:row r="318">
      <x:c r="A318" t="n">
        <x:v>317</x:v>
      </x:c>
      <x:c r="B318" s="26" t="n">
        <x:v>46102</x:v>
      </x:c>
      <x:c r="C318" t="str">
        <x:v>CPO_Digital_360</x:v>
      </x:c>
      <x:c r="D318" t="str">
        <x:v>TikTok Ads</x:v>
      </x:c>
      <x:c r="E318" t="str">
        <x:v>Pequeno Negócio</x:v>
      </x:c>
      <x:c r="F318" t="str">
        <x:v>Uíge</x:v>
      </x:c>
      <x:c r="G318" t="str">
        <x:v>Android</x:v>
      </x:c>
      <x:c r="H318" t="n">
        <x:v>25555</x:v>
      </x:c>
      <x:c r="I318" t="n">
        <x:v>412</x:v>
      </x:c>
      <x:c r="J318" t="n">
        <x:v>35</x:v>
      </x:c>
      <x:c r="K318" t="n">
        <x:v>17</x:v>
      </x:c>
      <x:c r="L318" t="n">
        <x:v>9</x:v>
      </x:c>
      <x:c r="M318" s="28" t="n">
        <x:v>26987857.71</x:v>
      </x:c>
      <x:c r="N318" s="28" t="n">
        <x:v>35340.96</x:v>
      </x:c>
      <x:c r="O318" s="30" t="n">
        <x:f>IFERROR(I318/H318,0)</x:f>
        <x:v>0.01612208961064371</x:v>
      </x:c>
      <x:c r="P318" s="30" t="n">
        <x:f>IFERROR(J318/I318,0)</x:f>
        <x:v>0.08495145631067962</x:v>
      </x:c>
      <x:c r="Q318" s="30" t="n">
        <x:f>IFERROR(K318/J318,0)</x:f>
        <x:v>0.4857142857142857</x:v>
      </x:c>
      <x:c r="R318" s="30" t="n">
        <x:f>IFERROR(L318/K318,0)</x:f>
        <x:v>0.5294117647058824</x:v>
      </x:c>
      <x:c r="S318" s="28" t="n">
        <x:f>IFERROR(N318/J318,0)</x:f>
        <x:v>1009.7417142857142</x:v>
      </x:c>
      <x:c r="T318" s="28" t="n">
        <x:f>IFERROR(N318/K318,0)</x:f>
        <x:v>2078.88</x:v>
      </x:c>
      <x:c r="U318" s="28" t="n">
        <x:f>IFERROR(N318/L318,0)</x:f>
        <x:v>3926.773333333333</x:v>
      </x:c>
    </x:row>
    <x:row r="319">
      <x:c r="A319" t="n">
        <x:v>318</x:v>
      </x:c>
      <x:c r="B319" s="26" t="n">
        <x:v>46102</x:v>
      </x:c>
      <x:c r="C319" t="str">
        <x:v>CPO_Premium</x:v>
      </x:c>
      <x:c r="D319" t="str">
        <x:v>Google Ads</x:v>
      </x:c>
      <x:c r="E319" t="str">
        <x:v>Assalariado</x:v>
      </x:c>
      <x:c r="F319" t="str">
        <x:v>Huíla</x:v>
      </x:c>
      <x:c r="G319" t="str">
        <x:v>Android</x:v>
      </x:c>
      <x:c r="H319" t="n">
        <x:v>5680</x:v>
      </x:c>
      <x:c r="I319" t="n">
        <x:v>177</x:v>
      </x:c>
      <x:c r="J319" t="n">
        <x:v>26</x:v>
      </x:c>
      <x:c r="K319" t="n">
        <x:v>16</x:v>
      </x:c>
      <x:c r="L319" t="n">
        <x:v>12</x:v>
      </x:c>
      <x:c r="M319" s="28" t="n">
        <x:v>26749887.64</x:v>
      </x:c>
      <x:c r="N319" s="28" t="n">
        <x:v>33317.28</x:v>
      </x:c>
      <x:c r="O319" s="30" t="n">
        <x:f>IFERROR(I319/H319,0)</x:f>
        <x:v>0.031161971830985916</x:v>
      </x:c>
      <x:c r="P319" s="30" t="n">
        <x:f>IFERROR(J319/I319,0)</x:f>
        <x:v>0.14689265536723164</x:v>
      </x:c>
      <x:c r="Q319" s="30" t="n">
        <x:f>IFERROR(K319/J319,0)</x:f>
        <x:v>0.6153846153846154</x:v>
      </x:c>
      <x:c r="R319" s="30" t="n">
        <x:f>IFERROR(L319/K319,0)</x:f>
        <x:v>0.75</x:v>
      </x:c>
      <x:c r="S319" s="28" t="n">
        <x:f>IFERROR(N319/J319,0)</x:f>
        <x:v>1281.4338461538462</x:v>
      </x:c>
      <x:c r="T319" s="28" t="n">
        <x:f>IFERROR(N319/K319,0)</x:f>
        <x:v>2082.33</x:v>
      </x:c>
      <x:c r="U319" s="28" t="n">
        <x:f>IFERROR(N319/L319,0)</x:f>
        <x:v>2776.44</x:v>
      </x:c>
    </x:row>
    <x:row r="320">
      <x:c r="A320" t="n">
        <x:v>319</x:v>
      </x:c>
      <x:c r="B320" s="26" t="n">
        <x:v>46103</x:v>
      </x:c>
      <x:c r="C320" t="str">
        <x:v>CPO_Premium</x:v>
      </x:c>
      <x:c r="D320" t="str">
        <x:v>Meta Ads</x:v>
      </x:c>
      <x:c r="E320" t="str">
        <x:v>Jovem Profissional</x:v>
      </x:c>
      <x:c r="F320" t="str">
        <x:v>Luanda</x:v>
      </x:c>
      <x:c r="G320" t="str">
        <x:v>Android</x:v>
      </x:c>
      <x:c r="H320" t="n">
        <x:v>7398</x:v>
      </x:c>
      <x:c r="I320" t="n">
        <x:v>196</x:v>
      </x:c>
      <x:c r="J320" t="n">
        <x:v>27</x:v>
      </x:c>
      <x:c r="K320" t="n">
        <x:v>16</x:v>
      </x:c>
      <x:c r="L320" t="n">
        <x:v>9</x:v>
      </x:c>
      <x:c r="M320" s="28" t="n">
        <x:v>9304538.83</x:v>
      </x:c>
      <x:c r="N320" s="28" t="n">
        <x:v>19199.44</x:v>
      </x:c>
      <x:c r="O320" s="30" t="n">
        <x:f>IFERROR(I320/H320,0)</x:f>
        <x:v>0.026493646931603138</x:v>
      </x:c>
      <x:c r="P320" s="30" t="n">
        <x:f>IFERROR(J320/I320,0)</x:f>
        <x:v>0.1377551020408163</x:v>
      </x:c>
      <x:c r="Q320" s="30" t="n">
        <x:f>IFERROR(K320/J320,0)</x:f>
        <x:v>0.5925925925925926</x:v>
      </x:c>
      <x:c r="R320" s="30" t="n">
        <x:f>IFERROR(L320/K320,0)</x:f>
        <x:v>0.5625</x:v>
      </x:c>
      <x:c r="S320" s="28" t="n">
        <x:f>IFERROR(N320/J320,0)</x:f>
        <x:v>711.0903703703704</x:v>
      </x:c>
      <x:c r="T320" s="28" t="n">
        <x:f>IFERROR(N320/K320,0)</x:f>
        <x:v>1199.965</x:v>
      </x:c>
      <x:c r="U320" s="28" t="n">
        <x:f>IFERROR(N320/L320,0)</x:f>
        <x:v>2133.271111111111</x:v>
      </x:c>
    </x:row>
    <x:row r="321">
      <x:c r="A321" t="n">
        <x:v>320</x:v>
      </x:c>
      <x:c r="B321" s="26" t="n">
        <x:v>46103</x:v>
      </x:c>
      <x:c r="C321" t="str">
        <x:v>CPO_Acesso_Rapido</x:v>
      </x:c>
      <x:c r="D321" t="str">
        <x:v>TikTok Ads</x:v>
      </x:c>
      <x:c r="E321" t="str">
        <x:v>Jovem Profissional</x:v>
      </x:c>
      <x:c r="F321" t="str">
        <x:v>Benguela</x:v>
      </x:c>
      <x:c r="G321" t="str">
        <x:v>Desktop</x:v>
      </x:c>
      <x:c r="H321" t="n">
        <x:v>18543</x:v>
      </x:c>
      <x:c r="I321" t="n">
        <x:v>176</x:v>
      </x:c>
      <x:c r="J321" t="n">
        <x:v>13</x:v>
      </x:c>
      <x:c r="K321" t="n">
        <x:v>8</x:v>
      </x:c>
      <x:c r="L321" t="n">
        <x:v>4</x:v>
      </x:c>
      <x:c r="M321" s="28" t="n">
        <x:v>5773692.1</x:v>
      </x:c>
      <x:c r="N321" s="28" t="n">
        <x:v>33314.87</x:v>
      </x:c>
      <x:c r="O321" s="30" t="n">
        <x:f>IFERROR(I321/H321,0)</x:f>
        <x:v>0.009491452300059322</x:v>
      </x:c>
      <x:c r="P321" s="30" t="n">
        <x:f>IFERROR(J321/I321,0)</x:f>
        <x:v>0.07386363636363637</x:v>
      </x:c>
      <x:c r="Q321" s="30" t="n">
        <x:f>IFERROR(K321/J321,0)</x:f>
        <x:v>0.6153846153846154</x:v>
      </x:c>
      <x:c r="R321" s="30" t="n">
        <x:f>IFERROR(L321/K321,0)</x:f>
        <x:v>0.5</x:v>
      </x:c>
      <x:c r="S321" s="28" t="n">
        <x:f>IFERROR(N321/J321,0)</x:f>
        <x:v>2562.682307692308</x:v>
      </x:c>
      <x:c r="T321" s="28" t="n">
        <x:f>IFERROR(N321/K321,0)</x:f>
        <x:v>4164.35875</x:v>
      </x:c>
      <x:c r="U321" s="28" t="n">
        <x:f>IFERROR(N321/L321,0)</x:f>
        <x:v>8328.7175</x:v>
      </x:c>
    </x:row>
    <x:row r="322">
      <x:c r="A322" t="n">
        <x:v>321</x:v>
      </x:c>
      <x:c r="B322" s="26" t="n">
        <x:v>46103</x:v>
      </x:c>
      <x:c r="C322" t="str">
        <x:v>CPO_Acesso_Rapido</x:v>
      </x:c>
      <x:c r="D322" t="str">
        <x:v>BAI Directo/App</x:v>
      </x:c>
      <x:c r="E322" t="str">
        <x:v>Funcionário Público</x:v>
      </x:c>
      <x:c r="F322" t="str">
        <x:v>Huíla</x:v>
      </x:c>
      <x:c r="G322" t="str">
        <x:v>Android</x:v>
      </x:c>
      <x:c r="H322" t="n">
        <x:v>3040</x:v>
      </x:c>
      <x:c r="I322" t="n">
        <x:v>384</x:v>
      </x:c>
      <x:c r="J322" t="n">
        <x:v>104</x:v>
      </x:c>
      <x:c r="K322" t="n">
        <x:v>61</x:v>
      </x:c>
      <x:c r="L322" t="n">
        <x:v>50</x:v>
      </x:c>
      <x:c r="M322" s="28" t="n">
        <x:v>88163756</x:v>
      </x:c>
      <x:c r="N322" s="28" t="n">
        <x:v>17582.21</x:v>
      </x:c>
      <x:c r="O322" s="30" t="n">
        <x:f>IFERROR(I322/H322,0)</x:f>
        <x:v>0.12631578947368421</x:v>
      </x:c>
      <x:c r="P322" s="30" t="n">
        <x:f>IFERROR(J322/I322,0)</x:f>
        <x:v>0.2708333333333333</x:v>
      </x:c>
      <x:c r="Q322" s="30" t="n">
        <x:f>IFERROR(K322/J322,0)</x:f>
        <x:v>0.5865384615384616</x:v>
      </x:c>
      <x:c r="R322" s="30" t="n">
        <x:f>IFERROR(L322/K322,0)</x:f>
        <x:v>0.819672131147541</x:v>
      </x:c>
      <x:c r="S322" s="28" t="n">
        <x:f>IFERROR(N322/J322,0)</x:f>
        <x:v>169.05971153846153</x:v>
      </x:c>
      <x:c r="T322" s="28" t="n">
        <x:f>IFERROR(N322/K322,0)</x:f>
        <x:v>288.2329508196721</x:v>
      </x:c>
      <x:c r="U322" s="28" t="n">
        <x:f>IFERROR(N322/L322,0)</x:f>
        <x:v>351.64419999999996</x:v>
      </x:c>
    </x:row>
    <x:row r="323">
      <x:c r="A323" t="n">
        <x:v>322</x:v>
      </x:c>
      <x:c r="B323" s="26" t="n">
        <x:v>46103</x:v>
      </x:c>
      <x:c r="C323" t="str">
        <x:v>CPO_Salario</x:v>
      </x:c>
      <x:c r="D323" t="str">
        <x:v>BAI Directo/App</x:v>
      </x:c>
      <x:c r="E323" t="str">
        <x:v>Assalariado</x:v>
      </x:c>
      <x:c r="F323" t="str">
        <x:v>Luanda</x:v>
      </x:c>
      <x:c r="G323" t="str">
        <x:v>iOS</x:v>
      </x:c>
      <x:c r="H323" t="n">
        <x:v>4344</x:v>
      </x:c>
      <x:c r="I323" t="n">
        <x:v>359</x:v>
      </x:c>
      <x:c r="J323" t="n">
        <x:v>81</x:v>
      </x:c>
      <x:c r="K323" t="n">
        <x:v>56</x:v>
      </x:c>
      <x:c r="L323" t="n">
        <x:v>35</x:v>
      </x:c>
      <x:c r="M323" s="28" t="n">
        <x:v>71969424.71</x:v>
      </x:c>
      <x:c r="N323" s="28" t="n">
        <x:v>29430.7</x:v>
      </x:c>
      <x:c r="O323" s="30" t="n">
        <x:f>IFERROR(I323/H323,0)</x:f>
        <x:v>0.0826427255985267</x:v>
      </x:c>
      <x:c r="P323" s="30" t="n">
        <x:f>IFERROR(J323/I323,0)</x:f>
        <x:v>0.22562674094707522</x:v>
      </x:c>
      <x:c r="Q323" s="30" t="n">
        <x:f>IFERROR(K323/J323,0)</x:f>
        <x:v>0.691358024691358</x:v>
      </x:c>
      <x:c r="R323" s="30" t="n">
        <x:f>IFERROR(L323/K323,0)</x:f>
        <x:v>0.625</x:v>
      </x:c>
      <x:c r="S323" s="28" t="n">
        <x:f>IFERROR(N323/J323,0)</x:f>
        <x:v>363.34197530864196</x:v>
      </x:c>
      <x:c r="T323" s="28" t="n">
        <x:f>IFERROR(N323/K323,0)</x:f>
        <x:v>525.5482142857143</x:v>
      </x:c>
      <x:c r="U323" s="28" t="n">
        <x:f>IFERROR(N323/L323,0)</x:f>
        <x:v>840.8771428571429</x:v>
      </x:c>
    </x:row>
    <x:row r="324">
      <x:c r="A324" t="n">
        <x:v>323</x:v>
      </x:c>
      <x:c r="B324" s="26" t="n">
        <x:v>46104</x:v>
      </x:c>
      <x:c r="C324" t="str">
        <x:v>CPO_Always_On</x:v>
      </x:c>
      <x:c r="D324" t="str">
        <x:v>Meta Ads</x:v>
      </x:c>
      <x:c r="E324" t="str">
        <x:v>Assalariado</x:v>
      </x:c>
      <x:c r="F324" t="str">
        <x:v>Luanda</x:v>
      </x:c>
      <x:c r="G324" t="str">
        <x:v>Android</x:v>
      </x:c>
      <x:c r="H324" t="n">
        <x:v>4479</x:v>
      </x:c>
      <x:c r="I324" t="n">
        <x:v>60</x:v>
      </x:c>
      <x:c r="J324" t="n">
        <x:v>5</x:v>
      </x:c>
      <x:c r="K324" t="n">
        <x:v>4</x:v>
      </x:c>
      <x:c r="L324" t="n">
        <x:v>3</x:v>
      </x:c>
      <x:c r="M324" s="28" t="n">
        <x:v>6459071.56</x:v>
      </x:c>
      <x:c r="N324" s="28" t="n">
        <x:v>7816.81</x:v>
      </x:c>
      <x:c r="O324" s="30" t="n">
        <x:f>IFERROR(I324/H324,0)</x:f>
        <x:v>0.013395847287340924</x:v>
      </x:c>
      <x:c r="P324" s="30" t="n">
        <x:f>IFERROR(J324/I324,0)</x:f>
        <x:v>0.08333333333333333</x:v>
      </x:c>
      <x:c r="Q324" s="30" t="n">
        <x:f>IFERROR(K324/J324,0)</x:f>
        <x:v>0.8</x:v>
      </x:c>
      <x:c r="R324" s="30" t="n">
        <x:f>IFERROR(L324/K324,0)</x:f>
        <x:v>0.75</x:v>
      </x:c>
      <x:c r="S324" s="28" t="n">
        <x:f>IFERROR(N324/J324,0)</x:f>
        <x:v>1563.362</x:v>
      </x:c>
      <x:c r="T324" s="28" t="n">
        <x:f>IFERROR(N324/K324,0)</x:f>
        <x:v>1954.2025</x:v>
      </x:c>
      <x:c r="U324" s="28" t="n">
        <x:f>IFERROR(N324/L324,0)</x:f>
        <x:v>2605.6033333333335</x:v>
      </x:c>
    </x:row>
    <x:row r="325">
      <x:c r="A325" t="n">
        <x:v>324</x:v>
      </x:c>
      <x:c r="B325" s="26" t="n">
        <x:v>46104</x:v>
      </x:c>
      <x:c r="C325" t="str">
        <x:v>CPO_Digital_360</x:v>
      </x:c>
      <x:c r="D325" t="str">
        <x:v>TikTok Ads</x:v>
      </x:c>
      <x:c r="E325" t="str">
        <x:v>Pequeno Negócio</x:v>
      </x:c>
      <x:c r="F325" t="str">
        <x:v>Huambo</x:v>
      </x:c>
      <x:c r="G325" t="str">
        <x:v>Android</x:v>
      </x:c>
      <x:c r="H325" t="n">
        <x:v>26327</x:v>
      </x:c>
      <x:c r="I325" t="n">
        <x:v>358</x:v>
      </x:c>
      <x:c r="J325" t="n">
        <x:v>32</x:v>
      </x:c>
      <x:c r="K325" t="n">
        <x:v>12</x:v>
      </x:c>
      <x:c r="L325" t="n">
        <x:v>6</x:v>
      </x:c>
      <x:c r="M325" s="28" t="n">
        <x:v>17660469.1</x:v>
      </x:c>
      <x:c r="N325" s="28" t="n">
        <x:v>18326.53</x:v>
      </x:c>
      <x:c r="O325" s="30" t="n">
        <x:f>IFERROR(I325/H325,0)</x:f>
        <x:v>0.013598207163748243</x:v>
      </x:c>
      <x:c r="P325" s="30" t="n">
        <x:f>IFERROR(J325/I325,0)</x:f>
        <x:v>0.0893854748603352</x:v>
      </x:c>
      <x:c r="Q325" s="30" t="n">
        <x:f>IFERROR(K325/J325,0)</x:f>
        <x:v>0.375</x:v>
      </x:c>
      <x:c r="R325" s="30" t="n">
        <x:f>IFERROR(L325/K325,0)</x:f>
        <x:v>0.5</x:v>
      </x:c>
      <x:c r="S325" s="28" t="n">
        <x:f>IFERROR(N325/J325,0)</x:f>
        <x:v>572.7040625</x:v>
      </x:c>
      <x:c r="T325" s="28" t="n">
        <x:f>IFERROR(N325/K325,0)</x:f>
        <x:v>1527.2108333333333</x:v>
      </x:c>
      <x:c r="U325" s="28" t="n">
        <x:f>IFERROR(N325/L325,0)</x:f>
        <x:v>3054.4216666666666</x:v>
      </x:c>
    </x:row>
    <x:row r="326">
      <x:c r="A326" t="n">
        <x:v>325</x:v>
      </x:c>
      <x:c r="B326" s="26" t="n">
        <x:v>46104</x:v>
      </x:c>
      <x:c r="C326" t="str">
        <x:v>CPO_Premium</x:v>
      </x:c>
      <x:c r="D326" t="str">
        <x:v>TikTok Ads</x:v>
      </x:c>
      <x:c r="E326" t="str">
        <x:v>Funcionário Público</x:v>
      </x:c>
      <x:c r="F326" t="str">
        <x:v>Benguela</x:v>
      </x:c>
      <x:c r="G326" t="str">
        <x:v>Android</x:v>
      </x:c>
      <x:c r="H326" t="n">
        <x:v>17692</x:v>
      </x:c>
      <x:c r="I326" t="n">
        <x:v>338</x:v>
      </x:c>
      <x:c r="J326" t="n">
        <x:v>31</x:v>
      </x:c>
      <x:c r="K326" t="n">
        <x:v>20</x:v>
      </x:c>
      <x:c r="L326" t="n">
        <x:v>16</x:v>
      </x:c>
      <x:c r="M326" s="28" t="n">
        <x:v>30560911.77</x:v>
      </x:c>
      <x:c r="N326" s="28" t="n">
        <x:v>28486.32</x:v>
      </x:c>
      <x:c r="O326" s="30" t="n">
        <x:f>IFERROR(I326/H326,0)</x:f>
        <x:v>0.01910468008139272</x:v>
      </x:c>
      <x:c r="P326" s="30" t="n">
        <x:f>IFERROR(J326/I326,0)</x:f>
        <x:v>0.09171597633136094</x:v>
      </x:c>
      <x:c r="Q326" s="30" t="n">
        <x:f>IFERROR(K326/J326,0)</x:f>
        <x:v>0.6451612903225806</x:v>
      </x:c>
      <x:c r="R326" s="30" t="n">
        <x:f>IFERROR(L326/K326,0)</x:f>
        <x:v>0.8</x:v>
      </x:c>
      <x:c r="S326" s="28" t="n">
        <x:f>IFERROR(N326/J326,0)</x:f>
        <x:v>918.9135483870967</x:v>
      </x:c>
      <x:c r="T326" s="28" t="n">
        <x:f>IFERROR(N326/K326,0)</x:f>
        <x:v>1424.316</x:v>
      </x:c>
      <x:c r="U326" s="28" t="n">
        <x:f>IFERROR(N326/L326,0)</x:f>
        <x:v>1780.395</x:v>
      </x:c>
    </x:row>
    <x:row r="327">
      <x:c r="A327" t="n">
        <x:v>326</x:v>
      </x:c>
      <x:c r="B327" s="26" t="n">
        <x:v>46105</x:v>
      </x:c>
      <x:c r="C327" t="str">
        <x:v>CPO_Fim_do_Mes</x:v>
      </x:c>
      <x:c r="D327" t="str">
        <x:v>Meta Ads</x:v>
      </x:c>
      <x:c r="E327" t="str">
        <x:v>Funcionário Público</x:v>
      </x:c>
      <x:c r="F327" t="str">
        <x:v>Luanda</x:v>
      </x:c>
      <x:c r="G327" t="str">
        <x:v>Android</x:v>
      </x:c>
      <x:c r="H327" t="n">
        <x:v>11598</x:v>
      </x:c>
      <x:c r="I327" t="n">
        <x:v>226</x:v>
      </x:c>
      <x:c r="J327" t="n">
        <x:v>26</x:v>
      </x:c>
      <x:c r="K327" t="n">
        <x:v>20</x:v>
      </x:c>
      <x:c r="L327" t="n">
        <x:v>14</x:v>
      </x:c>
      <x:c r="M327" s="28" t="n">
        <x:v>26255129.12</x:v>
      </x:c>
      <x:c r="N327" s="28" t="n">
        <x:v>20263.41</x:v>
      </x:c>
      <x:c r="O327" s="30" t="n">
        <x:f>IFERROR(I327/H327,0)</x:f>
        <x:v>0.019486118296257977</x:v>
      </x:c>
      <x:c r="P327" s="30" t="n">
        <x:f>IFERROR(J327/I327,0)</x:f>
        <x:v>0.11504424778761062</x:v>
      </x:c>
      <x:c r="Q327" s="30" t="n">
        <x:f>IFERROR(K327/J327,0)</x:f>
        <x:v>0.7692307692307693</x:v>
      </x:c>
      <x:c r="R327" s="30" t="n">
        <x:f>IFERROR(L327/K327,0)</x:f>
        <x:v>0.7</x:v>
      </x:c>
      <x:c r="S327" s="28" t="n">
        <x:f>IFERROR(N327/J327,0)</x:f>
        <x:v>779.3619230769231</x:v>
      </x:c>
      <x:c r="T327" s="28" t="n">
        <x:f>IFERROR(N327/K327,0)</x:f>
        <x:v>1013.1705</x:v>
      </x:c>
      <x:c r="U327" s="28" t="n">
        <x:f>IFERROR(N327/L327,0)</x:f>
        <x:v>1447.3864285714285</x:v>
      </x:c>
    </x:row>
    <x:row r="328">
      <x:c r="A328" t="n">
        <x:v>327</x:v>
      </x:c>
      <x:c r="B328" s="26" t="n">
        <x:v>46105</x:v>
      </x:c>
      <x:c r="C328" t="str">
        <x:v>CPO_Premium</x:v>
      </x:c>
      <x:c r="D328" t="str">
        <x:v>Google Ads</x:v>
      </x:c>
      <x:c r="E328" t="str">
        <x:v>Premium</x:v>
      </x:c>
      <x:c r="F328" t="str">
        <x:v>Huíla</x:v>
      </x:c>
      <x:c r="G328" t="str">
        <x:v>iOS</x:v>
      </x:c>
      <x:c r="H328" t="n">
        <x:v>22541</x:v>
      </x:c>
      <x:c r="I328" t="n">
        <x:v>711</x:v>
      </x:c>
      <x:c r="J328" t="n">
        <x:v>122</x:v>
      </x:c>
      <x:c r="K328" t="n">
        <x:v>92</x:v>
      </x:c>
      <x:c r="L328" t="n">
        <x:v>67</x:v>
      </x:c>
      <x:c r="M328" s="28" t="n">
        <x:v>350402029.82</x:v>
      </x:c>
      <x:c r="N328" s="28" t="n">
        <x:v>114352.29</x:v>
      </x:c>
      <x:c r="O328" s="30" t="n">
        <x:f>IFERROR(I328/H328,0)</x:f>
        <x:v>0.03154252251452908</x:v>
      </x:c>
      <x:c r="P328" s="30" t="n">
        <x:f>IFERROR(J328/I328,0)</x:f>
        <x:v>0.17158931082981715</x:v>
      </x:c>
      <x:c r="Q328" s="30" t="n">
        <x:f>IFERROR(K328/J328,0)</x:f>
        <x:v>0.7540983606557377</x:v>
      </x:c>
      <x:c r="R328" s="30" t="n">
        <x:f>IFERROR(L328/K328,0)</x:f>
        <x:v>0.7282608695652174</x:v>
      </x:c>
      <x:c r="S328" s="28" t="n">
        <x:f>IFERROR(N328/J328,0)</x:f>
        <x:v>937.3138524590163</x:v>
      </x:c>
      <x:c r="T328" s="28" t="n">
        <x:f>IFERROR(N328/K328,0)</x:f>
        <x:v>1242.9596739130434</x:v>
      </x:c>
      <x:c r="U328" s="28" t="n">
        <x:f>IFERROR(N328/L328,0)</x:f>
        <x:v>1706.7505970149252</x:v>
      </x:c>
    </x:row>
    <x:row r="329">
      <x:c r="A329" t="n">
        <x:v>328</x:v>
      </x:c>
      <x:c r="B329" s="26" t="n">
        <x:v>46105</x:v>
      </x:c>
      <x:c r="C329" t="str">
        <x:v>CPO_Acesso_Rapido</x:v>
      </x:c>
      <x:c r="D329" t="str">
        <x:v>TikTok Ads</x:v>
      </x:c>
      <x:c r="E329" t="str">
        <x:v>Jovem Profissional</x:v>
      </x:c>
      <x:c r="F329" t="str">
        <x:v>Cabinda</x:v>
      </x:c>
      <x:c r="G329" t="str">
        <x:v>Android</x:v>
      </x:c>
      <x:c r="H329" t="n">
        <x:v>12270</x:v>
      </x:c>
      <x:c r="I329" t="n">
        <x:v>182</x:v>
      </x:c>
      <x:c r="J329" t="n">
        <x:v>16</x:v>
      </x:c>
      <x:c r="K329" t="n">
        <x:v>10</x:v>
      </x:c>
      <x:c r="L329" t="n">
        <x:v>6</x:v>
      </x:c>
      <x:c r="M329" s="28" t="n">
        <x:v>7770752.2</x:v>
      </x:c>
      <x:c r="N329" s="28" t="n">
        <x:v>22843.43</x:v>
      </x:c>
      <x:c r="O329" s="30" t="n">
        <x:f>IFERROR(I329/H329,0)</x:f>
        <x:v>0.014832925835370823</x:v>
      </x:c>
      <x:c r="P329" s="30" t="n">
        <x:f>IFERROR(J329/I329,0)</x:f>
        <x:v>0.08791208791208792</x:v>
      </x:c>
      <x:c r="Q329" s="30" t="n">
        <x:f>IFERROR(K329/J329,0)</x:f>
        <x:v>0.625</x:v>
      </x:c>
      <x:c r="R329" s="30" t="n">
        <x:f>IFERROR(L329/K329,0)</x:f>
        <x:v>0.6</x:v>
      </x:c>
      <x:c r="S329" s="28" t="n">
        <x:f>IFERROR(N329/J329,0)</x:f>
        <x:v>1427.714375</x:v>
      </x:c>
      <x:c r="T329" s="28" t="n">
        <x:f>IFERROR(N329/K329,0)</x:f>
        <x:v>2284.343</x:v>
      </x:c>
      <x:c r="U329" s="28" t="n">
        <x:f>IFERROR(N329/L329,0)</x:f>
        <x:v>3807.2383333333332</x:v>
      </x:c>
    </x:row>
    <x:row r="330">
      <x:c r="A330" t="n">
        <x:v>329</x:v>
      </x:c>
      <x:c r="B330" s="26" t="n">
        <x:v>46106</x:v>
      </x:c>
      <x:c r="C330" t="str">
        <x:v>CPO_Digital_360</x:v>
      </x:c>
      <x:c r="D330" t="str">
        <x:v>SMS</x:v>
      </x:c>
      <x:c r="E330" t="str">
        <x:v>Premium</x:v>
      </x:c>
      <x:c r="F330" t="str">
        <x:v>Luanda</x:v>
      </x:c>
      <x:c r="G330" t="str">
        <x:v>Android</x:v>
      </x:c>
      <x:c r="H330" t="n">
        <x:v>4140</x:v>
      </x:c>
      <x:c r="I330" t="n">
        <x:v>329</x:v>
      </x:c>
      <x:c r="J330" t="n">
        <x:v>35</x:v>
      </x:c>
      <x:c r="K330" t="n">
        <x:v>26</x:v>
      </x:c>
      <x:c r="L330" t="n">
        <x:v>21</x:v>
      </x:c>
      <x:c r="M330" s="28" t="n">
        <x:v>104356918.68</x:v>
      </x:c>
      <x:c r="N330" s="28" t="n">
        <x:v>16636.26</x:v>
      </x:c>
      <x:c r="O330" s="30" t="n">
        <x:f>IFERROR(I330/H330,0)</x:f>
        <x:v>0.07946859903381642</x:v>
      </x:c>
      <x:c r="P330" s="30" t="n">
        <x:f>IFERROR(J330/I330,0)</x:f>
        <x:v>0.10638297872340426</x:v>
      </x:c>
      <x:c r="Q330" s="30" t="n">
        <x:f>IFERROR(K330/J330,0)</x:f>
        <x:v>0.7428571428571429</x:v>
      </x:c>
      <x:c r="R330" s="30" t="n">
        <x:f>IFERROR(L330/K330,0)</x:f>
        <x:v>0.8076923076923077</x:v>
      </x:c>
      <x:c r="S330" s="28" t="n">
        <x:f>IFERROR(N330/J330,0)</x:f>
        <x:v>475.3217142857142</x:v>
      </x:c>
      <x:c r="T330" s="28" t="n">
        <x:f>IFERROR(N330/K330,0)</x:f>
        <x:v>639.8561538461538</x:v>
      </x:c>
      <x:c r="U330" s="28" t="n">
        <x:f>IFERROR(N330/L330,0)</x:f>
        <x:v>792.202857142857</x:v>
      </x:c>
    </x:row>
    <x:row r="331">
      <x:c r="A331" t="n">
        <x:v>330</x:v>
      </x:c>
      <x:c r="B331" s="26" t="n">
        <x:v>46106</x:v>
      </x:c>
      <x:c r="C331" t="str">
        <x:v>CPO_Salario</x:v>
      </x:c>
      <x:c r="D331" t="str">
        <x:v>Google Ads</x:v>
      </x:c>
      <x:c r="E331" t="str">
        <x:v>Assalariado</x:v>
      </x:c>
      <x:c r="F331" t="str">
        <x:v>Benguela</x:v>
      </x:c>
      <x:c r="G331" t="str">
        <x:v>Desktop</x:v>
      </x:c>
      <x:c r="H331" t="n">
        <x:v>5510</x:v>
      </x:c>
      <x:c r="I331" t="n">
        <x:v>181</x:v>
      </x:c>
      <x:c r="J331" t="n">
        <x:v>29</x:v>
      </x:c>
      <x:c r="K331" t="n">
        <x:v>14</x:v>
      </x:c>
      <x:c r="L331" t="n">
        <x:v>9</x:v>
      </x:c>
      <x:c r="M331" s="28" t="n">
        <x:v>19363056.54</x:v>
      </x:c>
      <x:c r="N331" s="28" t="n">
        <x:v>29517.99</x:v>
      </x:c>
      <x:c r="O331" s="30" t="n">
        <x:f>IFERROR(I331/H331,0)</x:f>
        <x:v>0.03284936479128857</x:v>
      </x:c>
      <x:c r="P331" s="30" t="n">
        <x:f>IFERROR(J331/I331,0)</x:f>
        <x:v>0.16022099447513813</x:v>
      </x:c>
      <x:c r="Q331" s="30" t="n">
        <x:f>IFERROR(K331/J331,0)</x:f>
        <x:v>0.4827586206896552</x:v>
      </x:c>
      <x:c r="R331" s="30" t="n">
        <x:f>IFERROR(L331/K331,0)</x:f>
        <x:v>0.6428571428571429</x:v>
      </x:c>
      <x:c r="S331" s="28" t="n">
        <x:f>IFERROR(N331/J331,0)</x:f>
        <x:v>1017.8617241379311</x:v>
      </x:c>
      <x:c r="T331" s="28" t="n">
        <x:f>IFERROR(N331/K331,0)</x:f>
        <x:v>2108.427857142857</x:v>
      </x:c>
      <x:c r="U331" s="28" t="n">
        <x:f>IFERROR(N331/L331,0)</x:f>
        <x:v>3279.7766666666666</x:v>
      </x:c>
    </x:row>
    <x:row r="332">
      <x:c r="A332" t="n">
        <x:v>331</x:v>
      </x:c>
      <x:c r="B332" s="26" t="n">
        <x:v>46106</x:v>
      </x:c>
      <x:c r="C332" t="str">
        <x:v>CPO_Digital_360</x:v>
      </x:c>
      <x:c r="D332" t="str">
        <x:v>SMS</x:v>
      </x:c>
      <x:c r="E332" t="str">
        <x:v>Jovem Profissional</x:v>
      </x:c>
      <x:c r="F332" t="str">
        <x:v>Luanda</x:v>
      </x:c>
      <x:c r="G332" t="str">
        <x:v>Desktop</x:v>
      </x:c>
      <x:c r="H332" t="n">
        <x:v>4625</x:v>
      </x:c>
      <x:c r="I332" t="n">
        <x:v>402</x:v>
      </x:c>
      <x:c r="J332" t="n">
        <x:v>66</x:v>
      </x:c>
      <x:c r="K332" t="n">
        <x:v>34</x:v>
      </x:c>
      <x:c r="L332" t="n">
        <x:v>19</x:v>
      </x:c>
      <x:c r="M332" s="28" t="n">
        <x:v>23725971.69</x:v>
      </x:c>
      <x:c r="N332" s="28" t="n">
        <x:v>54302.53</x:v>
      </x:c>
      <x:c r="O332" s="30" t="n">
        <x:f>IFERROR(I332/H332,0)</x:f>
        <x:v>0.08691891891891892</x:v>
      </x:c>
      <x:c r="P332" s="30" t="n">
        <x:f>IFERROR(J332/I332,0)</x:f>
        <x:v>0.16417910447761194</x:v>
      </x:c>
      <x:c r="Q332" s="30" t="n">
        <x:f>IFERROR(K332/J332,0)</x:f>
        <x:v>0.5151515151515151</x:v>
      </x:c>
      <x:c r="R332" s="30" t="n">
        <x:f>IFERROR(L332/K332,0)</x:f>
        <x:v>0.5588235294117647</x:v>
      </x:c>
      <x:c r="S332" s="28" t="n">
        <x:f>IFERROR(N332/J332,0)</x:f>
        <x:v>822.765606060606</x:v>
      </x:c>
      <x:c r="T332" s="28" t="n">
        <x:f>IFERROR(N332/K332,0)</x:f>
        <x:v>1597.1332352941176</x:v>
      </x:c>
      <x:c r="U332" s="28" t="n">
        <x:f>IFERROR(N332/L332,0)</x:f>
        <x:v>2858.027894736842</x:v>
      </x:c>
    </x:row>
    <x:row r="333">
      <x:c r="A333" t="n">
        <x:v>332</x:v>
      </x:c>
      <x:c r="B333" s="26" t="n">
        <x:v>46106</x:v>
      </x:c>
      <x:c r="C333" t="str">
        <x:v>CPO_Digital_360</x:v>
      </x:c>
      <x:c r="D333" t="str">
        <x:v>Meta Ads</x:v>
      </x:c>
      <x:c r="E333" t="str">
        <x:v>Premium</x:v>
      </x:c>
      <x:c r="F333" t="str">
        <x:v>Huambo</x:v>
      </x:c>
      <x:c r="G333" t="str">
        <x:v>Android</x:v>
      </x:c>
      <x:c r="H333" t="n">
        <x:v>19183</x:v>
      </x:c>
      <x:c r="I333" t="n">
        <x:v>335</x:v>
      </x:c>
      <x:c r="J333" t="n">
        <x:v>40</x:v>
      </x:c>
      <x:c r="K333" t="n">
        <x:v>28</x:v>
      </x:c>
      <x:c r="L333" t="n">
        <x:v>22</x:v>
      </x:c>
      <x:c r="M333" s="28" t="n">
        <x:v>118819510.49</x:v>
      </x:c>
      <x:c r="N333" s="28" t="n">
        <x:v>57540.93</x:v>
      </x:c>
      <x:c r="O333" s="30" t="n">
        <x:f>IFERROR(I333/H333,0)</x:f>
        <x:v>0.01746337903351926</x:v>
      </x:c>
      <x:c r="P333" s="30" t="n">
        <x:f>IFERROR(J333/I333,0)</x:f>
        <x:v>0.11940298507462686</x:v>
      </x:c>
      <x:c r="Q333" s="30" t="n">
        <x:f>IFERROR(K333/J333,0)</x:f>
        <x:v>0.7</x:v>
      </x:c>
      <x:c r="R333" s="30" t="n">
        <x:f>IFERROR(L333/K333,0)</x:f>
        <x:v>0.7857142857142857</x:v>
      </x:c>
      <x:c r="S333" s="28" t="n">
        <x:f>IFERROR(N333/J333,0)</x:f>
        <x:v>1438.52325</x:v>
      </x:c>
      <x:c r="T333" s="28" t="n">
        <x:f>IFERROR(N333/K333,0)</x:f>
        <x:v>2055.033214285714</x:v>
      </x:c>
      <x:c r="U333" s="28" t="n">
        <x:f>IFERROR(N333/L333,0)</x:f>
        <x:v>2615.496818181818</x:v>
      </x:c>
    </x:row>
    <x:row r="334">
      <x:c r="A334" t="n">
        <x:v>333</x:v>
      </x:c>
      <x:c r="B334" s="26" t="n">
        <x:v>46106</x:v>
      </x:c>
      <x:c r="C334" t="str">
        <x:v>CPO_Always_On</x:v>
      </x:c>
      <x:c r="D334" t="str">
        <x:v>Google Ads</x:v>
      </x:c>
      <x:c r="E334" t="str">
        <x:v>Pequeno Negócio</x:v>
      </x:c>
      <x:c r="F334" t="str">
        <x:v>Huambo</x:v>
      </x:c>
      <x:c r="G334" t="str">
        <x:v>Android</x:v>
      </x:c>
      <x:c r="H334" t="n">
        <x:v>24592</x:v>
      </x:c>
      <x:c r="I334" t="n">
        <x:v>502</x:v>
      </x:c>
      <x:c r="J334" t="n">
        <x:v>85</x:v>
      </x:c>
      <x:c r="K334" t="n">
        <x:v>45</x:v>
      </x:c>
      <x:c r="L334" t="n">
        <x:v>21</x:v>
      </x:c>
      <x:c r="M334" s="28" t="n">
        <x:v>67296313.78</x:v>
      </x:c>
      <x:c r="N334" s="28" t="n">
        <x:v>84997.16</x:v>
      </x:c>
      <x:c r="O334" s="30" t="n">
        <x:f>IFERROR(I334/H334,0)</x:f>
        <x:v>0.020413142485361094</x:v>
      </x:c>
      <x:c r="P334" s="30" t="n">
        <x:f>IFERROR(J334/I334,0)</x:f>
        <x:v>0.1693227091633466</x:v>
      </x:c>
      <x:c r="Q334" s="30" t="n">
        <x:f>IFERROR(K334/J334,0)</x:f>
        <x:v>0.5294117647058824</x:v>
      </x:c>
      <x:c r="R334" s="30" t="n">
        <x:f>IFERROR(L334/K334,0)</x:f>
        <x:v>0.4666666666666667</x:v>
      </x:c>
      <x:c r="S334" s="28" t="n">
        <x:f>IFERROR(N334/J334,0)</x:f>
        <x:v>999.9665882352941</x:v>
      </x:c>
      <x:c r="T334" s="28" t="n">
        <x:f>IFERROR(N334/K334,0)</x:f>
        <x:v>1888.8257777777778</x:v>
      </x:c>
      <x:c r="U334" s="28" t="n">
        <x:f>IFERROR(N334/L334,0)</x:f>
        <x:v>4047.4838095238097</x:v>
      </x:c>
    </x:row>
    <x:row r="335">
      <x:c r="A335" t="n">
        <x:v>334</x:v>
      </x:c>
      <x:c r="B335" s="26" t="n">
        <x:v>46107</x:v>
      </x:c>
      <x:c r="C335" t="str">
        <x:v>CPO_Acesso_Rapido</x:v>
      </x:c>
      <x:c r="D335" t="str">
        <x:v>Meta Ads</x:v>
      </x:c>
      <x:c r="E335" t="str">
        <x:v>Pequeno Negócio</x:v>
      </x:c>
      <x:c r="F335" t="str">
        <x:v>Luanda</x:v>
      </x:c>
      <x:c r="G335" t="str">
        <x:v>Android</x:v>
      </x:c>
      <x:c r="H335" t="n">
        <x:v>22792</x:v>
      </x:c>
      <x:c r="I335" t="n">
        <x:v>447</x:v>
      </x:c>
      <x:c r="J335" t="n">
        <x:v>50</x:v>
      </x:c>
      <x:c r="K335" t="n">
        <x:v>22</x:v>
      </x:c>
      <x:c r="L335" t="n">
        <x:v>11</x:v>
      </x:c>
      <x:c r="M335" s="28" t="n">
        <x:v>33290097.77</x:v>
      </x:c>
      <x:c r="N335" s="28" t="n">
        <x:v>22383.06</x:v>
      </x:c>
      <x:c r="O335" s="30" t="n">
        <x:f>IFERROR(I335/H335,0)</x:f>
        <x:v>0.01961214461214461</x:v>
      </x:c>
      <x:c r="P335" s="30" t="n">
        <x:f>IFERROR(J335/I335,0)</x:f>
        <x:v>0.11185682326621924</x:v>
      </x:c>
      <x:c r="Q335" s="30" t="n">
        <x:f>IFERROR(K335/J335,0)</x:f>
        <x:v>0.44</x:v>
      </x:c>
      <x:c r="R335" s="30" t="n">
        <x:f>IFERROR(L335/K335,0)</x:f>
        <x:v>0.5</x:v>
      </x:c>
      <x:c r="S335" s="28" t="n">
        <x:f>IFERROR(N335/J335,0)</x:f>
        <x:v>447.6612</x:v>
      </x:c>
      <x:c r="T335" s="28" t="n">
        <x:f>IFERROR(N335/K335,0)</x:f>
        <x:v>1017.4118181818183</x:v>
      </x:c>
      <x:c r="U335" s="28" t="n">
        <x:f>IFERROR(N335/L335,0)</x:f>
        <x:v>2034.8236363636365</x:v>
      </x:c>
    </x:row>
    <x:row r="336">
      <x:c r="A336" t="n">
        <x:v>335</x:v>
      </x:c>
      <x:c r="B336" s="26" t="n">
        <x:v>46107</x:v>
      </x:c>
      <x:c r="C336" t="str">
        <x:v>CPO_Salario</x:v>
      </x:c>
      <x:c r="D336" t="str">
        <x:v>Meta Ads</x:v>
      </x:c>
      <x:c r="E336" t="str">
        <x:v>Premium</x:v>
      </x:c>
      <x:c r="F336" t="str">
        <x:v>Luanda</x:v>
      </x:c>
      <x:c r="G336" t="str">
        <x:v>Android</x:v>
      </x:c>
      <x:c r="H336" t="n">
        <x:v>6442</x:v>
      </x:c>
      <x:c r="I336" t="n">
        <x:v>104</x:v>
      </x:c>
      <x:c r="J336" t="n">
        <x:v>14</x:v>
      </x:c>
      <x:c r="K336" t="n">
        <x:v>9</x:v>
      </x:c>
      <x:c r="L336" t="n">
        <x:v>7</x:v>
      </x:c>
      <x:c r="M336" s="28" t="n">
        <x:v>41379299.59</x:v>
      </x:c>
      <x:c r="N336" s="28" t="n">
        <x:v>13423.04</x:v>
      </x:c>
      <x:c r="O336" s="30" t="n">
        <x:f>IFERROR(I336/H336,0)</x:f>
        <x:v>0.01614405464141571</x:v>
      </x:c>
      <x:c r="P336" s="30" t="n">
        <x:f>IFERROR(J336/I336,0)</x:f>
        <x:v>0.1346153846153846</x:v>
      </x:c>
      <x:c r="Q336" s="30" t="n">
        <x:f>IFERROR(K336/J336,0)</x:f>
        <x:v>0.6428571428571429</x:v>
      </x:c>
      <x:c r="R336" s="30" t="n">
        <x:f>IFERROR(L336/K336,0)</x:f>
        <x:v>0.7777777777777778</x:v>
      </x:c>
      <x:c r="S336" s="28" t="n">
        <x:f>IFERROR(N336/J336,0)</x:f>
        <x:v>958.7885714285715</x:v>
      </x:c>
      <x:c r="T336" s="28" t="n">
        <x:f>IFERROR(N336/K336,0)</x:f>
        <x:v>1491.448888888889</x:v>
      </x:c>
      <x:c r="U336" s="28" t="n">
        <x:f>IFERROR(N336/L336,0)</x:f>
        <x:v>1917.577142857143</x:v>
      </x:c>
    </x:row>
    <x:row r="337">
      <x:c r="A337" t="n">
        <x:v>336</x:v>
      </x:c>
      <x:c r="B337" s="26" t="n">
        <x:v>46107</x:v>
      </x:c>
      <x:c r="C337" t="str">
        <x:v>CPO_Premium</x:v>
      </x:c>
      <x:c r="D337" t="str">
        <x:v>E-mail</x:v>
      </x:c>
      <x:c r="E337" t="str">
        <x:v>Premium</x:v>
      </x:c>
      <x:c r="F337" t="str">
        <x:v>Luanda</x:v>
      </x:c>
      <x:c r="G337" t="str">
        <x:v>iOS</x:v>
      </x:c>
      <x:c r="H337" t="n">
        <x:v>1936</x:v>
      </x:c>
      <x:c r="I337" t="n">
        <x:v>105</x:v>
      </x:c>
      <x:c r="J337" t="n">
        <x:v>9</x:v>
      </x:c>
      <x:c r="K337" t="n">
        <x:v>7</x:v>
      </x:c>
      <x:c r="L337" t="n">
        <x:v>6</x:v>
      </x:c>
      <x:c r="M337" s="28" t="n">
        <x:v>34592549.87</x:v>
      </x:c>
      <x:c r="N337" s="28" t="n">
        <x:v>7086.74</x:v>
      </x:c>
      <x:c r="O337" s="30" t="n">
        <x:f>IFERROR(I337/H337,0)</x:f>
        <x:v>0.054235537190082644</x:v>
      </x:c>
      <x:c r="P337" s="30" t="n">
        <x:f>IFERROR(J337/I337,0)</x:f>
        <x:v>0.08571428571428572</x:v>
      </x:c>
      <x:c r="Q337" s="30" t="n">
        <x:f>IFERROR(K337/J337,0)</x:f>
        <x:v>0.7777777777777778</x:v>
      </x:c>
      <x:c r="R337" s="30" t="n">
        <x:f>IFERROR(L337/K337,0)</x:f>
        <x:v>0.8571428571428571</x:v>
      </x:c>
      <x:c r="S337" s="28" t="n">
        <x:f>IFERROR(N337/J337,0)</x:f>
        <x:v>787.4155555555556</x:v>
      </x:c>
      <x:c r="T337" s="28" t="n">
        <x:f>IFERROR(N337/K337,0)</x:f>
        <x:v>1012.3914285714285</x:v>
      </x:c>
      <x:c r="U337" s="28" t="n">
        <x:f>IFERROR(N337/L337,0)</x:f>
        <x:v>1181.1233333333332</x:v>
      </x:c>
    </x:row>
    <x:row r="338">
      <x:c r="A338" t="n">
        <x:v>337</x:v>
      </x:c>
      <x:c r="B338" s="26" t="n">
        <x:v>46108</x:v>
      </x:c>
      <x:c r="C338" t="str">
        <x:v>CPO_Digital_360</x:v>
      </x:c>
      <x:c r="D338" t="str">
        <x:v>TikTok Ads</x:v>
      </x:c>
      <x:c r="E338" t="str">
        <x:v>Premium</x:v>
      </x:c>
      <x:c r="F338" t="str">
        <x:v>Huambo</x:v>
      </x:c>
      <x:c r="G338" t="str">
        <x:v>Android</x:v>
      </x:c>
      <x:c r="H338" t="n">
        <x:v>3299</x:v>
      </x:c>
      <x:c r="I338" t="n">
        <x:v>36</x:v>
      </x:c>
      <x:c r="J338" t="n">
        <x:v>2</x:v>
      </x:c>
      <x:c r="K338" t="n">
        <x:v>2</x:v>
      </x:c>
      <x:c r="L338" t="n">
        <x:v>2</x:v>
      </x:c>
      <x:c r="M338" s="28" t="n">
        <x:v>7489620.15</x:v>
      </x:c>
      <x:c r="N338" s="28" t="n">
        <x:v>1850.32</x:v>
      </x:c>
      <x:c r="O338" s="30" t="n">
        <x:f>IFERROR(I338/H338,0)</x:f>
        <x:v>0.010912397696271597</x:v>
      </x:c>
      <x:c r="P338" s="30" t="n">
        <x:f>IFERROR(J338/I338,0)</x:f>
        <x:v>0.05555555555555555</x:v>
      </x:c>
      <x:c r="Q338" s="30" t="n">
        <x:f>IFERROR(K338/J338,0)</x:f>
        <x:v>1</x:v>
      </x:c>
      <x:c r="R338" s="30" t="n">
        <x:f>IFERROR(L338/K338,0)</x:f>
        <x:v>1</x:v>
      </x:c>
      <x:c r="S338" s="28" t="n">
        <x:f>IFERROR(N338/J338,0)</x:f>
        <x:v>925.16</x:v>
      </x:c>
      <x:c r="T338" s="28" t="n">
        <x:f>IFERROR(N338/K338,0)</x:f>
        <x:v>925.16</x:v>
      </x:c>
      <x:c r="U338" s="28" t="n">
        <x:f>IFERROR(N338/L338,0)</x:f>
        <x:v>925.16</x:v>
      </x:c>
    </x:row>
    <x:row r="339">
      <x:c r="A339" t="n">
        <x:v>338</x:v>
      </x:c>
      <x:c r="B339" s="26" t="n">
        <x:v>46108</x:v>
      </x:c>
      <x:c r="C339" t="str">
        <x:v>CPO_Salario</x:v>
      </x:c>
      <x:c r="D339" t="str">
        <x:v>E-mail</x:v>
      </x:c>
      <x:c r="E339" t="str">
        <x:v>Funcionário Público</x:v>
      </x:c>
      <x:c r="F339" t="str">
        <x:v>Benguela</x:v>
      </x:c>
      <x:c r="G339" t="str">
        <x:v>iOS</x:v>
      </x:c>
      <x:c r="H339" t="n">
        <x:v>1674</x:v>
      </x:c>
      <x:c r="I339" t="n">
        <x:v>90</x:v>
      </x:c>
      <x:c r="J339" t="n">
        <x:v>10</x:v>
      </x:c>
      <x:c r="K339" t="n">
        <x:v>6</x:v>
      </x:c>
      <x:c r="L339" t="n">
        <x:v>5</x:v>
      </x:c>
      <x:c r="M339" s="28" t="n">
        <x:v>8040811.53</x:v>
      </x:c>
      <x:c r="N339" s="28" t="n">
        <x:v>21075.18</x:v>
      </x:c>
      <x:c r="O339" s="30" t="n">
        <x:f>IFERROR(I339/H339,0)</x:f>
        <x:v>0.053763440860215055</x:v>
      </x:c>
      <x:c r="P339" s="30" t="n">
        <x:f>IFERROR(J339/I339,0)</x:f>
        <x:v>0.1111111111111111</x:v>
      </x:c>
      <x:c r="Q339" s="30" t="n">
        <x:f>IFERROR(K339/J339,0)</x:f>
        <x:v>0.6</x:v>
      </x:c>
      <x:c r="R339" s="30" t="n">
        <x:f>IFERROR(L339/K339,0)</x:f>
        <x:v>0.8333333333333334</x:v>
      </x:c>
      <x:c r="S339" s="28" t="n">
        <x:f>IFERROR(N339/J339,0)</x:f>
        <x:v>2107.518</x:v>
      </x:c>
      <x:c r="T339" s="28" t="n">
        <x:f>IFERROR(N339/K339,0)</x:f>
        <x:v>3512.53</x:v>
      </x:c>
      <x:c r="U339" s="28" t="n">
        <x:f>IFERROR(N339/L339,0)</x:f>
        <x:v>4215.036</x:v>
      </x:c>
    </x:row>
    <x:row r="340">
      <x:c r="A340" t="n">
        <x:v>339</x:v>
      </x:c>
      <x:c r="B340" s="26" t="n">
        <x:v>46108</x:v>
      </x:c>
      <x:c r="C340" t="str">
        <x:v>CPO_Digital_360</x:v>
      </x:c>
      <x:c r="D340" t="str">
        <x:v>SMS</x:v>
      </x:c>
      <x:c r="E340" t="str">
        <x:v>Jovem Profissional</x:v>
      </x:c>
      <x:c r="F340" t="str">
        <x:v>Huíla</x:v>
      </x:c>
      <x:c r="G340" t="str">
        <x:v>Android</x:v>
      </x:c>
      <x:c r="H340" t="n">
        <x:v>5691</x:v>
      </x:c>
      <x:c r="I340" t="n">
        <x:v>460</x:v>
      </x:c>
      <x:c r="J340" t="n">
        <x:v>69</x:v>
      </x:c>
      <x:c r="K340" t="n">
        <x:v>43</x:v>
      </x:c>
      <x:c r="L340" t="n">
        <x:v>29</x:v>
      </x:c>
      <x:c r="M340" s="28" t="n">
        <x:v>37854018.15</x:v>
      </x:c>
      <x:c r="N340" s="28" t="n">
        <x:v>61425.99</x:v>
      </x:c>
      <x:c r="O340" s="30" t="n">
        <x:f>IFERROR(I340/H340,0)</x:f>
        <x:v>0.08082937972236866</x:v>
      </x:c>
      <x:c r="P340" s="30" t="n">
        <x:f>IFERROR(J340/I340,0)</x:f>
        <x:v>0.15</x:v>
      </x:c>
      <x:c r="Q340" s="30" t="n">
        <x:f>IFERROR(K340/J340,0)</x:f>
        <x:v>0.6231884057971014</x:v>
      </x:c>
      <x:c r="R340" s="30" t="n">
        <x:f>IFERROR(L340/K340,0)</x:f>
        <x:v>0.6744186046511628</x:v>
      </x:c>
      <x:c r="S340" s="28" t="n">
        <x:f>IFERROR(N340/J340,0)</x:f>
        <x:v>890.2317391304348</x:v>
      </x:c>
      <x:c r="T340" s="28" t="n">
        <x:f>IFERROR(N340/K340,0)</x:f>
        <x:v>1428.5113953488371</x:v>
      </x:c>
      <x:c r="U340" s="28" t="n">
        <x:f>IFERROR(N340/L340,0)</x:f>
        <x:v>2118.1375862068967</x:v>
      </x:c>
    </x:row>
    <x:row r="341">
      <x:c r="A341" t="n">
        <x:v>340</x:v>
      </x:c>
      <x:c r="B341" s="26" t="n">
        <x:v>46109</x:v>
      </x:c>
      <x:c r="C341" t="str">
        <x:v>CPO_Salario</x:v>
      </x:c>
      <x:c r="D341" t="str">
        <x:v>Meta Ads</x:v>
      </x:c>
      <x:c r="E341" t="str">
        <x:v>Premium</x:v>
      </x:c>
      <x:c r="F341" t="str">
        <x:v>Uíge</x:v>
      </x:c>
      <x:c r="G341" t="str">
        <x:v>iOS</x:v>
      </x:c>
      <x:c r="H341" t="n">
        <x:v>26738</x:v>
      </x:c>
      <x:c r="I341" t="n">
        <x:v>534</x:v>
      </x:c>
      <x:c r="J341" t="n">
        <x:v>75</x:v>
      </x:c>
      <x:c r="K341" t="n">
        <x:v>53</x:v>
      </x:c>
      <x:c r="L341" t="n">
        <x:v>42</x:v>
      </x:c>
      <x:c r="M341" s="28" t="n">
        <x:v>206900726.81</x:v>
      </x:c>
      <x:c r="N341" s="28" t="n">
        <x:v>53059.74</x:v>
      </x:c>
      <x:c r="O341" s="30" t="n">
        <x:f>IFERROR(I341/H341,0)</x:f>
        <x:v>0.01997157603410876</x:v>
      </x:c>
      <x:c r="P341" s="30" t="n">
        <x:f>IFERROR(J341/I341,0)</x:f>
        <x:v>0.1404494382022472</x:v>
      </x:c>
      <x:c r="Q341" s="30" t="n">
        <x:f>IFERROR(K341/J341,0)</x:f>
        <x:v>0.7066666666666667</x:v>
      </x:c>
      <x:c r="R341" s="30" t="n">
        <x:f>IFERROR(L341/K341,0)</x:f>
        <x:v>0.7924528301886793</x:v>
      </x:c>
      <x:c r="S341" s="28" t="n">
        <x:f>IFERROR(N341/J341,0)</x:f>
        <x:v>707.4632</x:v>
      </x:c>
      <x:c r="T341" s="28" t="n">
        <x:f>IFERROR(N341/K341,0)</x:f>
        <x:v>1001.1271698113208</x:v>
      </x:c>
      <x:c r="U341" s="28" t="n">
        <x:f>IFERROR(N341/L341,0)</x:f>
        <x:v>1263.327142857143</x:v>
      </x:c>
    </x:row>
    <x:row r="342">
      <x:c r="A342" t="n">
        <x:v>341</x:v>
      </x:c>
      <x:c r="B342" s="26" t="n">
        <x:v>46109</x:v>
      </x:c>
      <x:c r="C342" t="str">
        <x:v>CPO_Always_On</x:v>
      </x:c>
      <x:c r="D342" t="str">
        <x:v>TikTok Ads</x:v>
      </x:c>
      <x:c r="E342" t="str">
        <x:v>Funcionário Público</x:v>
      </x:c>
      <x:c r="F342" t="str">
        <x:v>Huíla</x:v>
      </x:c>
      <x:c r="G342" t="str">
        <x:v>Desktop</x:v>
      </x:c>
      <x:c r="H342" t="n">
        <x:v>22645</x:v>
      </x:c>
      <x:c r="I342" t="n">
        <x:v>246</x:v>
      </x:c>
      <x:c r="J342" t="n">
        <x:v>17</x:v>
      </x:c>
      <x:c r="K342" t="n">
        <x:v>13</x:v>
      </x:c>
      <x:c r="L342" t="n">
        <x:v>9</x:v>
      </x:c>
      <x:c r="M342" s="28" t="n">
        <x:v>15186165.59</x:v>
      </x:c>
      <x:c r="N342" s="28" t="n">
        <x:v>35498.53</x:v>
      </x:c>
      <x:c r="O342" s="30" t="n">
        <x:f>IFERROR(I342/H342,0)</x:f>
        <x:v>0.01086332523735924</x:v>
      </x:c>
      <x:c r="P342" s="30" t="n">
        <x:f>IFERROR(J342/I342,0)</x:f>
        <x:v>0.06910569105691057</x:v>
      </x:c>
      <x:c r="Q342" s="30" t="n">
        <x:f>IFERROR(K342/J342,0)</x:f>
        <x:v>0.7647058823529411</x:v>
      </x:c>
      <x:c r="R342" s="30" t="n">
        <x:f>IFERROR(L342/K342,0)</x:f>
        <x:v>0.6923076923076923</x:v>
      </x:c>
      <x:c r="S342" s="28" t="n">
        <x:f>IFERROR(N342/J342,0)</x:f>
        <x:v>2088.148823529412</x:v>
      </x:c>
      <x:c r="T342" s="28" t="n">
        <x:f>IFERROR(N342/K342,0)</x:f>
        <x:v>2730.6561538461538</x:v>
      </x:c>
      <x:c r="U342" s="28" t="n">
        <x:f>IFERROR(N342/L342,0)</x:f>
        <x:v>3944.281111111111</x:v>
      </x:c>
    </x:row>
    <x:row r="343">
      <x:c r="A343" t="n">
        <x:v>342</x:v>
      </x:c>
      <x:c r="B343" s="26" t="n">
        <x:v>46109</x:v>
      </x:c>
      <x:c r="C343" t="str">
        <x:v>CPO_Acesso_Rapido</x:v>
      </x:c>
      <x:c r="D343" t="str">
        <x:v>Meta Ads</x:v>
      </x:c>
      <x:c r="E343" t="str">
        <x:v>Funcionário Público</x:v>
      </x:c>
      <x:c r="F343" t="str">
        <x:v>Luanda</x:v>
      </x:c>
      <x:c r="G343" t="str">
        <x:v>Android</x:v>
      </x:c>
      <x:c r="H343" t="n">
        <x:v>18060</x:v>
      </x:c>
      <x:c r="I343" t="n">
        <x:v>218</x:v>
      </x:c>
      <x:c r="J343" t="n">
        <x:v>24</x:v>
      </x:c>
      <x:c r="K343" t="n">
        <x:v>18</x:v>
      </x:c>
      <x:c r="L343" t="n">
        <x:v>13</x:v>
      </x:c>
      <x:c r="M343" s="28" t="n">
        <x:v>22377032.03</x:v>
      </x:c>
      <x:c r="N343" s="28" t="n">
        <x:v>31425.67</x:v>
      </x:c>
      <x:c r="O343" s="30" t="n">
        <x:f>IFERROR(I343/H343,0)</x:f>
        <x:v>0.012070874861572536</x:v>
      </x:c>
      <x:c r="P343" s="30" t="n">
        <x:f>IFERROR(J343/I343,0)</x:f>
        <x:v>0.11009174311926606</x:v>
      </x:c>
      <x:c r="Q343" s="30" t="n">
        <x:f>IFERROR(K343/J343,0)</x:f>
        <x:v>0.75</x:v>
      </x:c>
      <x:c r="R343" s="30" t="n">
        <x:f>IFERROR(L343/K343,0)</x:f>
        <x:v>0.7222222222222222</x:v>
      </x:c>
      <x:c r="S343" s="28" t="n">
        <x:f>IFERROR(N343/J343,0)</x:f>
        <x:v>1309.4029166666667</x:v>
      </x:c>
      <x:c r="T343" s="28" t="n">
        <x:f>IFERROR(N343/K343,0)</x:f>
        <x:v>1745.8705555555555</x:v>
      </x:c>
      <x:c r="U343" s="28" t="n">
        <x:f>IFERROR(N343/L343,0)</x:f>
        <x:v>2417.3592307692306</x:v>
      </x:c>
    </x:row>
    <x:row r="344">
      <x:c r="A344" t="n">
        <x:v>343</x:v>
      </x:c>
      <x:c r="B344" s="26" t="n">
        <x:v>46109</x:v>
      </x:c>
      <x:c r="C344" t="str">
        <x:v>CPO_Fim_do_Mes</x:v>
      </x:c>
      <x:c r="D344" t="str">
        <x:v>E-mail</x:v>
      </x:c>
      <x:c r="E344" t="str">
        <x:v>Assalariado</x:v>
      </x:c>
      <x:c r="F344" t="str">
        <x:v>Uíge</x:v>
      </x:c>
      <x:c r="G344" t="str">
        <x:v>Android</x:v>
      </x:c>
      <x:c r="H344" t="n">
        <x:v>3869</x:v>
      </x:c>
      <x:c r="I344" t="n">
        <x:v>142</x:v>
      </x:c>
      <x:c r="J344" t="n">
        <x:v>15</x:v>
      </x:c>
      <x:c r="K344" t="n">
        <x:v>8</x:v>
      </x:c>
      <x:c r="L344" t="n">
        <x:v>6</x:v>
      </x:c>
      <x:c r="M344" s="28" t="n">
        <x:v>9965150.52</x:v>
      </x:c>
      <x:c r="N344" s="28" t="n">
        <x:v>28633.86</x:v>
      </x:c>
      <x:c r="O344" s="30" t="n">
        <x:f>IFERROR(I344/H344,0)</x:f>
        <x:v>0.03670199017834066</x:v>
      </x:c>
      <x:c r="P344" s="30" t="n">
        <x:f>IFERROR(J344/I344,0)</x:f>
        <x:v>0.1056338028169014</x:v>
      </x:c>
      <x:c r="Q344" s="30" t="n">
        <x:f>IFERROR(K344/J344,0)</x:f>
        <x:v>0.5333333333333333</x:v>
      </x:c>
      <x:c r="R344" s="30" t="n">
        <x:f>IFERROR(L344/K344,0)</x:f>
        <x:v>0.75</x:v>
      </x:c>
      <x:c r="S344" s="28" t="n">
        <x:f>IFERROR(N344/J344,0)</x:f>
        <x:v>1908.924</x:v>
      </x:c>
      <x:c r="T344" s="28" t="n">
        <x:f>IFERROR(N344/K344,0)</x:f>
        <x:v>3579.2325</x:v>
      </x:c>
      <x:c r="U344" s="28" t="n">
        <x:f>IFERROR(N344/L344,0)</x:f>
        <x:v>4772.31</x:v>
      </x:c>
    </x:row>
    <x:row r="345">
      <x:c r="A345" t="n">
        <x:v>344</x:v>
      </x:c>
      <x:c r="B345" s="26" t="n">
        <x:v>46109</x:v>
      </x:c>
      <x:c r="C345" t="str">
        <x:v>CPO_Acesso_Rapido</x:v>
      </x:c>
      <x:c r="D345" t="str">
        <x:v>Google Ads</x:v>
      </x:c>
      <x:c r="E345" t="str">
        <x:v>Assalariado</x:v>
      </x:c>
      <x:c r="F345" t="str">
        <x:v>Luanda</x:v>
      </x:c>
      <x:c r="G345" t="str">
        <x:v>Android</x:v>
      </x:c>
      <x:c r="H345" t="n">
        <x:v>25005</x:v>
      </x:c>
      <x:c r="I345" t="n">
        <x:v>958</x:v>
      </x:c>
      <x:c r="J345" t="n">
        <x:v>197</x:v>
      </x:c>
      <x:c r="K345" t="n">
        <x:v>139</x:v>
      </x:c>
      <x:c r="L345" t="n">
        <x:v>107</x:v>
      </x:c>
      <x:c r="M345" s="28" t="n">
        <x:v>240078566.96</x:v>
      </x:c>
      <x:c r="N345" s="28" t="n">
        <x:v>126314.15</x:v>
      </x:c>
      <x:c r="O345" s="30" t="n">
        <x:f>IFERROR(I345/H345,0)</x:f>
        <x:v>0.0383123375324935</x:v>
      </x:c>
      <x:c r="P345" s="30" t="n">
        <x:f>IFERROR(J345/I345,0)</x:f>
        <x:v>0.2056367432150313</x:v>
      </x:c>
      <x:c r="Q345" s="30" t="n">
        <x:f>IFERROR(K345/J345,0)</x:f>
        <x:v>0.7055837563451777</x:v>
      </x:c>
      <x:c r="R345" s="30" t="n">
        <x:f>IFERROR(L345/K345,0)</x:f>
        <x:v>0.7697841726618705</x:v>
      </x:c>
      <x:c r="S345" s="28" t="n">
        <x:f>IFERROR(N345/J345,0)</x:f>
        <x:v>641.188578680203</x:v>
      </x:c>
      <x:c r="T345" s="28" t="n">
        <x:f>IFERROR(N345/K345,0)</x:f>
        <x:v>908.7348920863309</x:v>
      </x:c>
      <x:c r="U345" s="28" t="n">
        <x:f>IFERROR(N345/L345,0)</x:f>
        <x:v>1180.5060747663551</x:v>
      </x:c>
    </x:row>
    <x:row r="346">
      <x:c r="A346" t="n">
        <x:v>345</x:v>
      </x:c>
      <x:c r="B346" s="26" t="n">
        <x:v>46110</x:v>
      </x:c>
      <x:c r="C346" t="str">
        <x:v>CPO_Acesso_Rapido</x:v>
      </x:c>
      <x:c r="D346" t="str">
        <x:v>SMS</x:v>
      </x:c>
      <x:c r="E346" t="str">
        <x:v>Assalariado</x:v>
      </x:c>
      <x:c r="F346" t="str">
        <x:v>Luanda</x:v>
      </x:c>
      <x:c r="G346" t="str">
        <x:v>Android</x:v>
      </x:c>
      <x:c r="H346" t="n">
        <x:v>10102</x:v>
      </x:c>
      <x:c r="I346" t="n">
        <x:v>748</x:v>
      </x:c>
      <x:c r="J346" t="n">
        <x:v>129</x:v>
      </x:c>
      <x:c r="K346" t="n">
        <x:v>97</x:v>
      </x:c>
      <x:c r="L346" t="n">
        <x:v>73</x:v>
      </x:c>
      <x:c r="M346" s="28" t="n">
        <x:v>157826464.59</x:v>
      </x:c>
      <x:c r="N346" s="28" t="n">
        <x:v>153517.24</x:v>
      </x:c>
      <x:c r="O346" s="30" t="n">
        <x:f>IFERROR(I346/H346,0)</x:f>
        <x:v>0.07404474361512572</x:v>
      </x:c>
      <x:c r="P346" s="30" t="n">
        <x:f>IFERROR(J346/I346,0)</x:f>
        <x:v>0.17245989304812834</x:v>
      </x:c>
      <x:c r="Q346" s="30" t="n">
        <x:f>IFERROR(K346/J346,0)</x:f>
        <x:v>0.751937984496124</x:v>
      </x:c>
      <x:c r="R346" s="30" t="n">
        <x:f>IFERROR(L346/K346,0)</x:f>
        <x:v>0.7525773195876289</x:v>
      </x:c>
      <x:c r="S346" s="28" t="n">
        <x:f>IFERROR(N346/J346,0)</x:f>
        <x:v>1190.0561240310076</x:v>
      </x:c>
      <x:c r="T346" s="28" t="n">
        <x:f>IFERROR(N346/K346,0)</x:f>
        <x:v>1582.6519587628866</x:v>
      </x:c>
      <x:c r="U346" s="28" t="n">
        <x:f>IFERROR(N346/L346,0)</x:f>
        <x:v>2102.975890410959</x:v>
      </x:c>
    </x:row>
    <x:row r="347">
      <x:c r="A347" t="n">
        <x:v>346</x:v>
      </x:c>
      <x:c r="B347" s="26" t="n">
        <x:v>46110</x:v>
      </x:c>
      <x:c r="C347" t="str">
        <x:v>CPO_Digital_360</x:v>
      </x:c>
      <x:c r="D347" t="str">
        <x:v>SMS</x:v>
      </x:c>
      <x:c r="E347" t="str">
        <x:v>Assalariado</x:v>
      </x:c>
      <x:c r="F347" t="str">
        <x:v>Luanda</x:v>
      </x:c>
      <x:c r="G347" t="str">
        <x:v>iOS</x:v>
      </x:c>
      <x:c r="H347" t="n">
        <x:v>9010</x:v>
      </x:c>
      <x:c r="I347" t="n">
        <x:v>270</x:v>
      </x:c>
      <x:c r="J347" t="n">
        <x:v>41</x:v>
      </x:c>
      <x:c r="K347" t="n">
        <x:v>26</x:v>
      </x:c>
      <x:c r="L347" t="n">
        <x:v>16</x:v>
      </x:c>
      <x:c r="M347" s="28" t="n">
        <x:v>39014649.81</x:v>
      </x:c>
      <x:c r="N347" s="28" t="n">
        <x:v>63306.19</x:v>
      </x:c>
      <x:c r="O347" s="30" t="n">
        <x:f>IFERROR(I347/H347,0)</x:f>
        <x:v>0.029966703662597113</x:v>
      </x:c>
      <x:c r="P347" s="30" t="n">
        <x:f>IFERROR(J347/I347,0)</x:f>
        <x:v>0.15185185185185185</x:v>
      </x:c>
      <x:c r="Q347" s="30" t="n">
        <x:f>IFERROR(K347/J347,0)</x:f>
        <x:v>0.6341463414634146</x:v>
      </x:c>
      <x:c r="R347" s="30" t="n">
        <x:f>IFERROR(L347/K347,0)</x:f>
        <x:v>0.6153846153846154</x:v>
      </x:c>
      <x:c r="S347" s="28" t="n">
        <x:f>IFERROR(N347/J347,0)</x:f>
        <x:v>1544.0534146341463</x:v>
      </x:c>
      <x:c r="T347" s="28" t="n">
        <x:f>IFERROR(N347/K347,0)</x:f>
        <x:v>2434.8534615384615</x:v>
      </x:c>
      <x:c r="U347" s="28" t="n">
        <x:f>IFERROR(N347/L347,0)</x:f>
        <x:v>3956.636875</x:v>
      </x:c>
    </x:row>
    <x:row r="348">
      <x:c r="A348" t="n">
        <x:v>347</x:v>
      </x:c>
      <x:c r="B348" s="26" t="n">
        <x:v>46110</x:v>
      </x:c>
      <x:c r="C348" t="str">
        <x:v>CPO_Fim_do_Mes</x:v>
      </x:c>
      <x:c r="D348" t="str">
        <x:v>Meta Ads</x:v>
      </x:c>
      <x:c r="E348" t="str">
        <x:v>Funcionário Público</x:v>
      </x:c>
      <x:c r="F348" t="str">
        <x:v>Luanda</x:v>
      </x:c>
      <x:c r="G348" t="str">
        <x:v>Desktop</x:v>
      </x:c>
      <x:c r="H348" t="n">
        <x:v>4462</x:v>
      </x:c>
      <x:c r="I348" t="n">
        <x:v>102</x:v>
      </x:c>
      <x:c r="J348" t="n">
        <x:v>11</x:v>
      </x:c>
      <x:c r="K348" t="n">
        <x:v>7</x:v>
      </x:c>
      <x:c r="L348" t="n">
        <x:v>5</x:v>
      </x:c>
      <x:c r="M348" s="28" t="n">
        <x:v>7665985.11</x:v>
      </x:c>
      <x:c r="N348" s="28" t="n">
        <x:v>17024.96</x:v>
      </x:c>
      <x:c r="O348" s="30" t="n">
        <x:f>IFERROR(I348/H348,0)</x:f>
        <x:v>0.02285970416853429</x:v>
      </x:c>
      <x:c r="P348" s="30" t="n">
        <x:f>IFERROR(J348/I348,0)</x:f>
        <x:v>0.10784313725490197</x:v>
      </x:c>
      <x:c r="Q348" s="30" t="n">
        <x:f>IFERROR(K348/J348,0)</x:f>
        <x:v>0.6363636363636364</x:v>
      </x:c>
      <x:c r="R348" s="30" t="n">
        <x:f>IFERROR(L348/K348,0)</x:f>
        <x:v>0.7142857142857143</x:v>
      </x:c>
      <x:c r="S348" s="28" t="n">
        <x:f>IFERROR(N348/J348,0)</x:f>
        <x:v>1547.7236363636364</x:v>
      </x:c>
      <x:c r="T348" s="28" t="n">
        <x:f>IFERROR(N348/K348,0)</x:f>
        <x:v>2432.137142857143</x:v>
      </x:c>
      <x:c r="U348" s="28" t="n">
        <x:f>IFERROR(N348/L348,0)</x:f>
        <x:v>3404.9919999999997</x:v>
      </x:c>
    </x:row>
    <x:row r="349">
      <x:c r="A349" t="n">
        <x:v>348</x:v>
      </x:c>
      <x:c r="B349" s="26" t="n">
        <x:v>46110</x:v>
      </x:c>
      <x:c r="C349" t="str">
        <x:v>CPO_Salario</x:v>
      </x:c>
      <x:c r="D349" t="str">
        <x:v>Google Ads</x:v>
      </x:c>
      <x:c r="E349" t="str">
        <x:v>Assalariado</x:v>
      </x:c>
      <x:c r="F349" t="str">
        <x:v>Benguela</x:v>
      </x:c>
      <x:c r="G349" t="str">
        <x:v>Android</x:v>
      </x:c>
      <x:c r="H349" t="n">
        <x:v>8130</x:v>
      </x:c>
      <x:c r="I349" t="n">
        <x:v>322</x:v>
      </x:c>
      <x:c r="J349" t="n">
        <x:v>57</x:v>
      </x:c>
      <x:c r="K349" t="n">
        <x:v>32</x:v>
      </x:c>
      <x:c r="L349" t="n">
        <x:v>23</x:v>
      </x:c>
      <x:c r="M349" s="28" t="n">
        <x:v>53877004.92</x:v>
      </x:c>
      <x:c r="N349" s="28" t="n">
        <x:v>47753.12</x:v>
      </x:c>
      <x:c r="O349" s="30" t="n">
        <x:f>IFERROR(I349/H349,0)</x:f>
        <x:v>0.03960639606396064</x:v>
      </x:c>
      <x:c r="P349" s="30" t="n">
        <x:f>IFERROR(J349/I349,0)</x:f>
        <x:v>0.17701863354037267</x:v>
      </x:c>
      <x:c r="Q349" s="30" t="n">
        <x:f>IFERROR(K349/J349,0)</x:f>
        <x:v>0.5614035087719298</x:v>
      </x:c>
      <x:c r="R349" s="30" t="n">
        <x:f>IFERROR(L349/K349,0)</x:f>
        <x:v>0.71875</x:v>
      </x:c>
      <x:c r="S349" s="28" t="n">
        <x:f>IFERROR(N349/J349,0)</x:f>
        <x:v>837.7740350877193</x:v>
      </x:c>
      <x:c r="T349" s="28" t="n">
        <x:f>IFERROR(N349/K349,0)</x:f>
        <x:v>1492.285</x:v>
      </x:c>
      <x:c r="U349" s="28" t="n">
        <x:f>IFERROR(N349/L349,0)</x:f>
        <x:v>2076.222608695652</x:v>
      </x:c>
    </x:row>
    <x:row r="350">
      <x:c r="A350" t="n">
        <x:v>349</x:v>
      </x:c>
      <x:c r="B350" s="26" t="n">
        <x:v>46111</x:v>
      </x:c>
      <x:c r="C350" t="str">
        <x:v>CPO_Acesso_Rapido</x:v>
      </x:c>
      <x:c r="D350" t="str">
        <x:v>Google Ads</x:v>
      </x:c>
      <x:c r="E350" t="str">
        <x:v>Funcionário Público</x:v>
      </x:c>
      <x:c r="F350" t="str">
        <x:v>Cuanza Sul</x:v>
      </x:c>
      <x:c r="G350" t="str">
        <x:v>iOS</x:v>
      </x:c>
      <x:c r="H350" t="n">
        <x:v>20236</x:v>
      </x:c>
      <x:c r="I350" t="n">
        <x:v>636</x:v>
      </x:c>
      <x:c r="J350" t="n">
        <x:v>89</x:v>
      </x:c>
      <x:c r="K350" t="n">
        <x:v>59</x:v>
      </x:c>
      <x:c r="L350" t="n">
        <x:v>36</x:v>
      </x:c>
      <x:c r="M350" s="28" t="n">
        <x:v>66502099.64</x:v>
      </x:c>
      <x:c r="N350" s="28" t="n">
        <x:v>112687.63</x:v>
      </x:c>
      <x:c r="O350" s="30" t="n">
        <x:f>IFERROR(I350/H350,0)</x:f>
        <x:v>0.0314291361929235</x:v>
      </x:c>
      <x:c r="P350" s="30" t="n">
        <x:f>IFERROR(J350/I350,0)</x:f>
        <x:v>0.139937106918239</x:v>
      </x:c>
      <x:c r="Q350" s="30" t="n">
        <x:f>IFERROR(K350/J350,0)</x:f>
        <x:v>0.6629213483146067</x:v>
      </x:c>
      <x:c r="R350" s="30" t="n">
        <x:f>IFERROR(L350/K350,0)</x:f>
        <x:v>0.6101694915254238</x:v>
      </x:c>
      <x:c r="S350" s="28" t="n">
        <x:f>IFERROR(N350/J350,0)</x:f>
        <x:v>1266.1531460674157</x:v>
      </x:c>
      <x:c r="T350" s="28" t="n">
        <x:f>IFERROR(N350/K350,0)</x:f>
        <x:v>1909.9598305084746</x:v>
      </x:c>
      <x:c r="U350" s="28" t="n">
        <x:f>IFERROR(N350/L350,0)</x:f>
        <x:v>3130.2119444444447</x:v>
      </x:c>
    </x:row>
    <x:row r="351">
      <x:c r="A351" t="n">
        <x:v>350</x:v>
      </x:c>
      <x:c r="B351" s="26" t="n">
        <x:v>46111</x:v>
      </x:c>
      <x:c r="C351" t="str">
        <x:v>CPO_Fim_do_Mes</x:v>
      </x:c>
      <x:c r="D351" t="str">
        <x:v>TikTok Ads</x:v>
      </x:c>
      <x:c r="E351" t="str">
        <x:v>Funcionário Público</x:v>
      </x:c>
      <x:c r="F351" t="str">
        <x:v>Luanda</x:v>
      </x:c>
      <x:c r="G351" t="str">
        <x:v>Android</x:v>
      </x:c>
      <x:c r="H351" t="n">
        <x:v>23635</x:v>
      </x:c>
      <x:c r="I351" t="n">
        <x:v>259</x:v>
      </x:c>
      <x:c r="J351" t="n">
        <x:v>20</x:v>
      </x:c>
      <x:c r="K351" t="n">
        <x:v>14</x:v>
      </x:c>
      <x:c r="L351" t="n">
        <x:v>10</x:v>
      </x:c>
      <x:c r="M351" s="28" t="n">
        <x:v>19043883.63</x:v>
      </x:c>
      <x:c r="N351" s="28" t="n">
        <x:v>17251.8</x:v>
      </x:c>
      <x:c r="O351" s="30" t="n">
        <x:f>IFERROR(I351/H351,0)</x:f>
        <x:v>0.010958324518722234</x:v>
      </x:c>
      <x:c r="P351" s="30" t="n">
        <x:f>IFERROR(J351/I351,0)</x:f>
        <x:v>0.07722007722007722</x:v>
      </x:c>
      <x:c r="Q351" s="30" t="n">
        <x:f>IFERROR(K351/J351,0)</x:f>
        <x:v>0.7</x:v>
      </x:c>
      <x:c r="R351" s="30" t="n">
        <x:f>IFERROR(L351/K351,0)</x:f>
        <x:v>0.7142857142857143</x:v>
      </x:c>
      <x:c r="S351" s="28" t="n">
        <x:f>IFERROR(N351/J351,0)</x:f>
        <x:v>862.5899999999999</x:v>
      </x:c>
      <x:c r="T351" s="28" t="n">
        <x:f>IFERROR(N351/K351,0)</x:f>
        <x:v>1232.2714285714285</x:v>
      </x:c>
      <x:c r="U351" s="28" t="n">
        <x:f>IFERROR(N351/L351,0)</x:f>
        <x:v>1725.1799999999998</x:v>
      </x:c>
    </x:row>
    <x:row r="352">
      <x:c r="A352" t="n">
        <x:v>351</x:v>
      </x:c>
      <x:c r="B352" s="26" t="n">
        <x:v>46111</x:v>
      </x:c>
      <x:c r="C352" t="str">
        <x:v>CPO_Salario</x:v>
      </x:c>
      <x:c r="D352" t="str">
        <x:v>Google Ads</x:v>
      </x:c>
      <x:c r="E352" t="str">
        <x:v>Funcionário Público</x:v>
      </x:c>
      <x:c r="F352" t="str">
        <x:v>Luanda</x:v>
      </x:c>
      <x:c r="G352" t="str">
        <x:v>Desktop</x:v>
      </x:c>
      <x:c r="H352" t="n">
        <x:v>15917</x:v>
      </x:c>
      <x:c r="I352" t="n">
        <x:v>444</x:v>
      </x:c>
      <x:c r="J352" t="n">
        <x:v>85</x:v>
      </x:c>
      <x:c r="K352" t="n">
        <x:v>60</x:v>
      </x:c>
      <x:c r="L352" t="n">
        <x:v>44</x:v>
      </x:c>
      <x:c r="M352" s="28" t="n">
        <x:v>83312050.98</x:v>
      </x:c>
      <x:c r="N352" s="28" t="n">
        <x:v>68555.59</x:v>
      </x:c>
      <x:c r="O352" s="30" t="n">
        <x:f>IFERROR(I352/H352,0)</x:f>
        <x:v>0.027894703775837155</x:v>
      </x:c>
      <x:c r="P352" s="30" t="n">
        <x:f>IFERROR(J352/I352,0)</x:f>
        <x:v>0.19144144144144143</x:v>
      </x:c>
      <x:c r="Q352" s="30" t="n">
        <x:f>IFERROR(K352/J352,0)</x:f>
        <x:v>0.7058823529411765</x:v>
      </x:c>
      <x:c r="R352" s="30" t="n">
        <x:f>IFERROR(L352/K352,0)</x:f>
        <x:v>0.7333333333333333</x:v>
      </x:c>
      <x:c r="S352" s="28" t="n">
        <x:f>IFERROR(N352/J352,0)</x:f>
        <x:v>806.5363529411765</x:v>
      </x:c>
      <x:c r="T352" s="28" t="n">
        <x:f>IFERROR(N352/K352,0)</x:f>
        <x:v>1142.5931666666665</x:v>
      </x:c>
      <x:c r="U352" s="28" t="n">
        <x:f>IFERROR(N352/L352,0)</x:f>
        <x:v>1558.081590909091</x:v>
      </x:c>
    </x:row>
    <x:row r="353">
      <x:c r="A353" t="n">
        <x:v>352</x:v>
      </x:c>
      <x:c r="B353" s="26" t="n">
        <x:v>46111</x:v>
      </x:c>
      <x:c r="C353" t="str">
        <x:v>CPO_Fim_do_Mes</x:v>
      </x:c>
      <x:c r="D353" t="str">
        <x:v>Meta Ads</x:v>
      </x:c>
      <x:c r="E353" t="str">
        <x:v>Funcionário Público</x:v>
      </x:c>
      <x:c r="F353" t="str">
        <x:v>Luanda</x:v>
      </x:c>
      <x:c r="G353" t="str">
        <x:v>Android</x:v>
      </x:c>
      <x:c r="H353" t="n">
        <x:v>18554</x:v>
      </x:c>
      <x:c r="I353" t="n">
        <x:v>318</x:v>
      </x:c>
      <x:c r="J353" t="n">
        <x:v>29</x:v>
      </x:c>
      <x:c r="K353" t="n">
        <x:v>18</x:v>
      </x:c>
      <x:c r="L353" t="n">
        <x:v>12</x:v>
      </x:c>
      <x:c r="M353" s="28" t="n">
        <x:v>16616970.28</x:v>
      </x:c>
      <x:c r="N353" s="28" t="n">
        <x:v>51421.11</x:v>
      </x:c>
      <x:c r="O353" s="30" t="n">
        <x:f>IFERROR(I353/H353,0)</x:f>
        <x:v>0.01713916136682117</x:v>
      </x:c>
      <x:c r="P353" s="30" t="n">
        <x:f>IFERROR(J353/I353,0)</x:f>
        <x:v>0.09119496855345911</x:v>
      </x:c>
      <x:c r="Q353" s="30" t="n">
        <x:f>IFERROR(K353/J353,0)</x:f>
        <x:v>0.6206896551724138</x:v>
      </x:c>
      <x:c r="R353" s="30" t="n">
        <x:f>IFERROR(L353/K353,0)</x:f>
        <x:v>0.6666666666666666</x:v>
      </x:c>
      <x:c r="S353" s="28" t="n">
        <x:f>IFERROR(N353/J353,0)</x:f>
        <x:v>1773.141724137931</x:v>
      </x:c>
      <x:c r="T353" s="28" t="n">
        <x:f>IFERROR(N353/K353,0)</x:f>
        <x:v>2856.7283333333335</x:v>
      </x:c>
      <x:c r="U353" s="28" t="n">
        <x:f>IFERROR(N353/L353,0)</x:f>
        <x:v>4285.0925</x:v>
      </x:c>
    </x:row>
    <x:row r="354">
      <x:c r="A354" t="n">
        <x:v>353</x:v>
      </x:c>
      <x:c r="B354" s="26" t="n">
        <x:v>46112</x:v>
      </x:c>
      <x:c r="C354" t="str">
        <x:v>CPO_Acesso_Rapido</x:v>
      </x:c>
      <x:c r="D354" t="str">
        <x:v>Meta Ads</x:v>
      </x:c>
      <x:c r="E354" t="str">
        <x:v>Pequeno Negócio</x:v>
      </x:c>
      <x:c r="F354" t="str">
        <x:v>Malanje</x:v>
      </x:c>
      <x:c r="G354" t="str">
        <x:v>Desktop</x:v>
      </x:c>
      <x:c r="H354" t="n">
        <x:v>22304</x:v>
      </x:c>
      <x:c r="I354" t="n">
        <x:v>499</x:v>
      </x:c>
      <x:c r="J354" t="n">
        <x:v>49</x:v>
      </x:c>
      <x:c r="K354" t="n">
        <x:v>21</x:v>
      </x:c>
      <x:c r="L354" t="n">
        <x:v>11</x:v>
      </x:c>
      <x:c r="M354" s="28" t="n">
        <x:v>32205591.6</x:v>
      </x:c>
      <x:c r="N354" s="28" t="n">
        <x:v>87610.94</x:v>
      </x:c>
      <x:c r="O354" s="30" t="n">
        <x:f>IFERROR(I354/H354,0)</x:f>
        <x:v>0.022372668579626973</x:v>
      </x:c>
      <x:c r="P354" s="30" t="n">
        <x:f>IFERROR(J354/I354,0)</x:f>
        <x:v>0.09819639278557114</x:v>
      </x:c>
      <x:c r="Q354" s="30" t="n">
        <x:f>IFERROR(K354/J354,0)</x:f>
        <x:v>0.42857142857142855</x:v>
      </x:c>
      <x:c r="R354" s="30" t="n">
        <x:f>IFERROR(L354/K354,0)</x:f>
        <x:v>0.5238095238095238</x:v>
      </x:c>
      <x:c r="S354" s="28" t="n">
        <x:f>IFERROR(N354/J354,0)</x:f>
        <x:v>1787.9783673469387</x:v>
      </x:c>
      <x:c r="T354" s="28" t="n">
        <x:f>IFERROR(N354/K354,0)</x:f>
        <x:v>4171.949523809524</x:v>
      </x:c>
      <x:c r="U354" s="28" t="n">
        <x:f>IFERROR(N354/L354,0)</x:f>
        <x:v>7964.630909090909</x:v>
      </x:c>
    </x:row>
    <x:row r="355">
      <x:c r="A355" t="n">
        <x:v>354</x:v>
      </x:c>
      <x:c r="B355" s="26" t="n">
        <x:v>46112</x:v>
      </x:c>
      <x:c r="C355" t="str">
        <x:v>CPO_Premium</x:v>
      </x:c>
      <x:c r="D355" t="str">
        <x:v>SMS</x:v>
      </x:c>
      <x:c r="E355" t="str">
        <x:v>Premium</x:v>
      </x:c>
      <x:c r="F355" t="str">
        <x:v>Benguela</x:v>
      </x:c>
      <x:c r="G355" t="str">
        <x:v>Android</x:v>
      </x:c>
      <x:c r="H355" t="n">
        <x:v>6987</x:v>
      </x:c>
      <x:c r="I355" t="n">
        <x:v>638</x:v>
      </x:c>
      <x:c r="J355" t="n">
        <x:v>95</x:v>
      </x:c>
      <x:c r="K355" t="n">
        <x:v>64</x:v>
      </x:c>
      <x:c r="L355" t="n">
        <x:v>47</x:v>
      </x:c>
      <x:c r="M355" s="28" t="n">
        <x:v>241885899.37</x:v>
      </x:c>
      <x:c r="N355" s="28" t="n">
        <x:v>60569.43</x:v>
      </x:c>
      <x:c r="O355" s="30" t="n">
        <x:f>IFERROR(I355/H355,0)</x:f>
        <x:v>0.09131243738371261</x:v>
      </x:c>
      <x:c r="P355" s="30" t="n">
        <x:f>IFERROR(J355/I355,0)</x:f>
        <x:v>0.14890282131661442</x:v>
      </x:c>
      <x:c r="Q355" s="30" t="n">
        <x:f>IFERROR(K355/J355,0)</x:f>
        <x:v>0.6736842105263158</x:v>
      </x:c>
      <x:c r="R355" s="30" t="n">
        <x:f>IFERROR(L355/K355,0)</x:f>
        <x:v>0.734375</x:v>
      </x:c>
      <x:c r="S355" s="28" t="n">
        <x:f>IFERROR(N355/J355,0)</x:f>
        <x:v>637.5729473684211</x:v>
      </x:c>
      <x:c r="T355" s="28" t="n">
        <x:f>IFERROR(N355/K355,0)</x:f>
        <x:v>946.39734375</x:v>
      </x:c>
      <x:c r="U355" s="28" t="n">
        <x:f>IFERROR(N355/L355,0)</x:f>
        <x:v>1288.7112765957447</x:v>
      </x:c>
    </x:row>
    <x:row r="356">
      <x:c r="A356" t="n">
        <x:v>355</x:v>
      </x:c>
      <x:c r="B356" s="26" t="n">
        <x:v>46112</x:v>
      </x:c>
      <x:c r="C356" t="str">
        <x:v>CPO_Salario</x:v>
      </x:c>
      <x:c r="D356" t="str">
        <x:v>BAI Directo/App</x:v>
      </x:c>
      <x:c r="E356" t="str">
        <x:v>Funcionário Público</x:v>
      </x:c>
      <x:c r="F356" t="str">
        <x:v>Huambo</x:v>
      </x:c>
      <x:c r="G356" t="str">
        <x:v>iOS</x:v>
      </x:c>
      <x:c r="H356" t="n">
        <x:v>3229</x:v>
      </x:c>
      <x:c r="I356" t="n">
        <x:v>359</x:v>
      </x:c>
      <x:c r="J356" t="n">
        <x:v>66</x:v>
      </x:c>
      <x:c r="K356" t="n">
        <x:v>43</x:v>
      </x:c>
      <x:c r="L356" t="n">
        <x:v>28</x:v>
      </x:c>
      <x:c r="M356" s="28" t="n">
        <x:v>49782105.19</x:v>
      </x:c>
      <x:c r="N356" s="28" t="n">
        <x:v>56016.23</x:v>
      </x:c>
      <x:c r="O356" s="30" t="n">
        <x:f>IFERROR(I356/H356,0)</x:f>
        <x:v>0.11117993186745122</x:v>
      </x:c>
      <x:c r="P356" s="30" t="n">
        <x:f>IFERROR(J356/I356,0)</x:f>
        <x:v>0.18384401114206128</x:v>
      </x:c>
      <x:c r="Q356" s="30" t="n">
        <x:f>IFERROR(K356/J356,0)</x:f>
        <x:v>0.6515151515151515</x:v>
      </x:c>
      <x:c r="R356" s="30" t="n">
        <x:f>IFERROR(L356/K356,0)</x:f>
        <x:v>0.6511627906976745</x:v>
      </x:c>
      <x:c r="S356" s="28" t="n">
        <x:f>IFERROR(N356/J356,0)</x:f>
        <x:v>848.7307575757576</x:v>
      </x:c>
      <x:c r="T356" s="28" t="n">
        <x:f>IFERROR(N356/K356,0)</x:f>
        <x:v>1302.703023255814</x:v>
      </x:c>
      <x:c r="U356" s="28" t="n">
        <x:f>IFERROR(N356/L356,0)</x:f>
        <x:v>2000.579642857143</x:v>
      </x:c>
    </x:row>
    <x:row r="357">
      <x:c r="A357" t="n">
        <x:v>356</x:v>
      </x:c>
      <x:c r="B357" s="26" t="n">
        <x:v>46113</x:v>
      </x:c>
      <x:c r="C357" t="str">
        <x:v>CPO_Digital_360</x:v>
      </x:c>
      <x:c r="D357" t="str">
        <x:v>E-mail</x:v>
      </x:c>
      <x:c r="E357" t="str">
        <x:v>Pequeno Negócio</x:v>
      </x:c>
      <x:c r="F357" t="str">
        <x:v>Uíge</x:v>
      </x:c>
      <x:c r="G357" t="str">
        <x:v>iOS</x:v>
      </x:c>
      <x:c r="H357" t="n">
        <x:v>11246</x:v>
      </x:c>
      <x:c r="I357" t="n">
        <x:v>534</x:v>
      </x:c>
      <x:c r="J357" t="n">
        <x:v>43</x:v>
      </x:c>
      <x:c r="K357" t="n">
        <x:v>16</x:v>
      </x:c>
      <x:c r="L357" t="n">
        <x:v>5</x:v>
      </x:c>
      <x:c r="M357" s="28" t="n">
        <x:v>12058039.72</x:v>
      </x:c>
      <x:c r="N357" s="28" t="n">
        <x:v>106928.1</x:v>
      </x:c>
      <x:c r="O357" s="30" t="n">
        <x:f>IFERROR(I357/H357,0)</x:f>
        <x:v>0.047483549706562336</x:v>
      </x:c>
      <x:c r="P357" s="30" t="n">
        <x:f>IFERROR(J357/I357,0)</x:f>
        <x:v>0.08052434456928839</x:v>
      </x:c>
      <x:c r="Q357" s="30" t="n">
        <x:f>IFERROR(K357/J357,0)</x:f>
        <x:v>0.37209302325581395</x:v>
      </x:c>
      <x:c r="R357" s="30" t="n">
        <x:f>IFERROR(L357/K357,0)</x:f>
        <x:v>0.3125</x:v>
      </x:c>
      <x:c r="S357" s="28" t="n">
        <x:f>IFERROR(N357/J357,0)</x:f>
        <x:v>2486.7000000000003</x:v>
      </x:c>
      <x:c r="T357" s="28" t="n">
        <x:f>IFERROR(N357/K357,0)</x:f>
        <x:v>6683.00625</x:v>
      </x:c>
      <x:c r="U357" s="28" t="n">
        <x:f>IFERROR(N357/L357,0)</x:f>
        <x:v>21385.620000000003</x:v>
      </x:c>
    </x:row>
    <x:row r="358">
      <x:c r="A358" t="n">
        <x:v>357</x:v>
      </x:c>
      <x:c r="B358" s="26" t="n">
        <x:v>46113</x:v>
      </x:c>
      <x:c r="C358" t="str">
        <x:v>CPO_Always_On</x:v>
      </x:c>
      <x:c r="D358" t="str">
        <x:v>TikTok Ads</x:v>
      </x:c>
      <x:c r="E358" t="str">
        <x:v>Premium</x:v>
      </x:c>
      <x:c r="F358" t="str">
        <x:v>Uíge</x:v>
      </x:c>
      <x:c r="G358" t="str">
        <x:v>Android</x:v>
      </x:c>
      <x:c r="H358" t="n">
        <x:v>15761</x:v>
      </x:c>
      <x:c r="I358" t="n">
        <x:v>332</x:v>
      </x:c>
      <x:c r="J358" t="n">
        <x:v>33</x:v>
      </x:c>
      <x:c r="K358" t="n">
        <x:v>25</x:v>
      </x:c>
      <x:c r="L358" t="n">
        <x:v>20</x:v>
      </x:c>
      <x:c r="M358" s="28" t="n">
        <x:v>101916951.82</x:v>
      </x:c>
      <x:c r="N358" s="28" t="n">
        <x:v>35910.91</x:v>
      </x:c>
      <x:c r="O358" s="30" t="n">
        <x:f>IFERROR(I358/H358,0)</x:f>
        <x:v>0.021064653258042004</x:v>
      </x:c>
      <x:c r="P358" s="30" t="n">
        <x:f>IFERROR(J358/I358,0)</x:f>
        <x:v>0.09939759036144578</x:v>
      </x:c>
      <x:c r="Q358" s="30" t="n">
        <x:f>IFERROR(K358/J358,0)</x:f>
        <x:v>0.7575757575757576</x:v>
      </x:c>
      <x:c r="R358" s="30" t="n">
        <x:f>IFERROR(L358/K358,0)</x:f>
        <x:v>0.8</x:v>
      </x:c>
      <x:c r="S358" s="28" t="n">
        <x:f>IFERROR(N358/J358,0)</x:f>
        <x:v>1088.209393939394</x:v>
      </x:c>
      <x:c r="T358" s="28" t="n">
        <x:f>IFERROR(N358/K358,0)</x:f>
        <x:v>1436.4364</x:v>
      </x:c>
      <x:c r="U358" s="28" t="n">
        <x:f>IFERROR(N358/L358,0)</x:f>
        <x:v>1795.5455000000002</x:v>
      </x:c>
    </x:row>
    <x:row r="359">
      <x:c r="A359" t="n">
        <x:v>358</x:v>
      </x:c>
      <x:c r="B359" s="26" t="n">
        <x:v>46113</x:v>
      </x:c>
      <x:c r="C359" t="str">
        <x:v>CPO_Digital_360</x:v>
      </x:c>
      <x:c r="D359" t="str">
        <x:v>SMS</x:v>
      </x:c>
      <x:c r="E359" t="str">
        <x:v>Jovem Profissional</x:v>
      </x:c>
      <x:c r="F359" t="str">
        <x:v>Luanda</x:v>
      </x:c>
      <x:c r="G359" t="str">
        <x:v>Desktop</x:v>
      </x:c>
      <x:c r="H359" t="n">
        <x:v>6968</x:v>
      </x:c>
      <x:c r="I359" t="n">
        <x:v>844</x:v>
      </x:c>
      <x:c r="J359" t="n">
        <x:v>120</x:v>
      </x:c>
      <x:c r="K359" t="n">
        <x:v>69</x:v>
      </x:c>
      <x:c r="L359" t="n">
        <x:v>45</x:v>
      </x:c>
      <x:c r="M359" s="28" t="n">
        <x:v>59089205.68</x:v>
      </x:c>
      <x:c r="N359" s="28" t="n">
        <x:v>85229.28</x:v>
      </x:c>
      <x:c r="O359" s="30" t="n">
        <x:f>IFERROR(I359/H359,0)</x:f>
        <x:v>0.12112514351320322</x:v>
      </x:c>
      <x:c r="P359" s="30" t="n">
        <x:f>IFERROR(J359/I359,0)</x:f>
        <x:v>0.14218009478672985</x:v>
      </x:c>
      <x:c r="Q359" s="30" t="n">
        <x:f>IFERROR(K359/J359,0)</x:f>
        <x:v>0.575</x:v>
      </x:c>
      <x:c r="R359" s="30" t="n">
        <x:f>IFERROR(L359/K359,0)</x:f>
        <x:v>0.6521739130434783</x:v>
      </x:c>
      <x:c r="S359" s="28" t="n">
        <x:f>IFERROR(N359/J359,0)</x:f>
        <x:v>710.244</x:v>
      </x:c>
      <x:c r="T359" s="28" t="n">
        <x:f>IFERROR(N359/K359,0)</x:f>
        <x:v>1235.2069565217391</x:v>
      </x:c>
      <x:c r="U359" s="28" t="n">
        <x:f>IFERROR(N359/L359,0)</x:f>
        <x:v>1893.984</x:v>
      </x:c>
    </x:row>
    <x:row r="360">
      <x:c r="A360" t="n">
        <x:v>359</x:v>
      </x:c>
      <x:c r="B360" s="26" t="n">
        <x:v>46113</x:v>
      </x:c>
      <x:c r="C360" t="str">
        <x:v>CPO_Acesso_Rapido</x:v>
      </x:c>
      <x:c r="D360" t="str">
        <x:v>E-mail</x:v>
      </x:c>
      <x:c r="E360" t="str">
        <x:v>Assalariado</x:v>
      </x:c>
      <x:c r="F360" t="str">
        <x:v>Cuanza Sul</x:v>
      </x:c>
      <x:c r="G360" t="str">
        <x:v>Android</x:v>
      </x:c>
      <x:c r="H360" t="n">
        <x:v>8474</x:v>
      </x:c>
      <x:c r="I360" t="n">
        <x:v>404</x:v>
      </x:c>
      <x:c r="J360" t="n">
        <x:v>37</x:v>
      </x:c>
      <x:c r="K360" t="n">
        <x:v>23</x:v>
      </x:c>
      <x:c r="L360" t="n">
        <x:v>13</x:v>
      </x:c>
      <x:c r="M360" s="28" t="n">
        <x:v>27694587.47</x:v>
      </x:c>
      <x:c r="N360" s="28" t="n">
        <x:v>55308.75</x:v>
      </x:c>
      <x:c r="O360" s="30" t="n">
        <x:f>IFERROR(I360/H360,0)</x:f>
        <x:v>0.04767524191645032</x:v>
      </x:c>
      <x:c r="P360" s="30" t="n">
        <x:f>IFERROR(J360/I360,0)</x:f>
        <x:v>0.09158415841584158</x:v>
      </x:c>
      <x:c r="Q360" s="30" t="n">
        <x:f>IFERROR(K360/J360,0)</x:f>
        <x:v>0.6216216216216216</x:v>
      </x:c>
      <x:c r="R360" s="30" t="n">
        <x:f>IFERROR(L360/K360,0)</x:f>
        <x:v>0.5652173913043478</x:v>
      </x:c>
      <x:c r="S360" s="28" t="n">
        <x:f>IFERROR(N360/J360,0)</x:f>
        <x:v>1494.831081081081</x:v>
      </x:c>
      <x:c r="T360" s="28" t="n">
        <x:f>IFERROR(N360/K360,0)</x:f>
        <x:v>2404.728260869565</x:v>
      </x:c>
      <x:c r="U360" s="28" t="n">
        <x:f>IFERROR(N360/L360,0)</x:f>
        <x:v>4254.5192307692305</x:v>
      </x:c>
    </x:row>
    <x:row r="361">
      <x:c r="A361" t="n">
        <x:v>360</x:v>
      </x:c>
      <x:c r="B361" s="26" t="n">
        <x:v>46113</x:v>
      </x:c>
      <x:c r="C361" t="str">
        <x:v>CPO_Always_On</x:v>
      </x:c>
      <x:c r="D361" t="str">
        <x:v>TikTok Ads</x:v>
      </x:c>
      <x:c r="E361" t="str">
        <x:v>Premium</x:v>
      </x:c>
      <x:c r="F361" t="str">
        <x:v>Luanda</x:v>
      </x:c>
      <x:c r="G361" t="str">
        <x:v>Android</x:v>
      </x:c>
      <x:c r="H361" t="n">
        <x:v>7586</x:v>
      </x:c>
      <x:c r="I361" t="n">
        <x:v>140</x:v>
      </x:c>
      <x:c r="J361" t="n">
        <x:v>12</x:v>
      </x:c>
      <x:c r="K361" t="n">
        <x:v>9</x:v>
      </x:c>
      <x:c r="L361" t="n">
        <x:v>7</x:v>
      </x:c>
      <x:c r="M361" s="28" t="n">
        <x:v>35565316.23</x:v>
      </x:c>
      <x:c r="N361" s="28" t="n">
        <x:v>11156.86</x:v>
      </x:c>
      <x:c r="O361" s="30" t="n">
        <x:f>IFERROR(I361/H361,0)</x:f>
        <x:v>0.018455048774057473</x:v>
      </x:c>
      <x:c r="P361" s="30" t="n">
        <x:f>IFERROR(J361/I361,0)</x:f>
        <x:v>0.08571428571428572</x:v>
      </x:c>
      <x:c r="Q361" s="30" t="n">
        <x:f>IFERROR(K361/J361,0)</x:f>
        <x:v>0.75</x:v>
      </x:c>
      <x:c r="R361" s="30" t="n">
        <x:f>IFERROR(L361/K361,0)</x:f>
        <x:v>0.7777777777777778</x:v>
      </x:c>
      <x:c r="S361" s="28" t="n">
        <x:f>IFERROR(N361/J361,0)</x:f>
        <x:v>929.7383333333333</x:v>
      </x:c>
      <x:c r="T361" s="28" t="n">
        <x:f>IFERROR(N361/K361,0)</x:f>
        <x:v>1239.6511111111113</x:v>
      </x:c>
      <x:c r="U361" s="28" t="n">
        <x:f>IFERROR(N361/L361,0)</x:f>
        <x:v>1593.837142857143</x:v>
      </x:c>
    </x:row>
    <x:row r="362">
      <x:c r="A362" t="n">
        <x:v>361</x:v>
      </x:c>
      <x:c r="B362" s="26" t="n">
        <x:v>46114</x:v>
      </x:c>
      <x:c r="C362" t="str">
        <x:v>CPO_Always_On</x:v>
      </x:c>
      <x:c r="D362" t="str">
        <x:v>SMS</x:v>
      </x:c>
      <x:c r="E362" t="str">
        <x:v>Funcionário Público</x:v>
      </x:c>
      <x:c r="F362" t="str">
        <x:v>Luanda</x:v>
      </x:c>
      <x:c r="G362" t="str">
        <x:v>iOS</x:v>
      </x:c>
      <x:c r="H362" t="n">
        <x:v>9945</x:v>
      </x:c>
      <x:c r="I362" t="n">
        <x:v>825</x:v>
      </x:c>
      <x:c r="J362" t="n">
        <x:v>91</x:v>
      </x:c>
      <x:c r="K362" t="n">
        <x:v>60</x:v>
      </x:c>
      <x:c r="L362" t="n">
        <x:v>31</x:v>
      </x:c>
      <x:c r="M362" s="28" t="n">
        <x:v>55443411.01</x:v>
      </x:c>
      <x:c r="N362" s="28" t="n">
        <x:v>71285.11</x:v>
      </x:c>
      <x:c r="O362" s="30" t="n">
        <x:f>IFERROR(I362/H362,0)</x:f>
        <x:v>0.08295625942684766</x:v>
      </x:c>
      <x:c r="P362" s="30" t="n">
        <x:f>IFERROR(J362/I362,0)</x:f>
        <x:v>0.1103030303030303</x:v>
      </x:c>
      <x:c r="Q362" s="30" t="n">
        <x:f>IFERROR(K362/J362,0)</x:f>
        <x:v>0.6593406593406593</x:v>
      </x:c>
      <x:c r="R362" s="30" t="n">
        <x:f>IFERROR(L362/K362,0)</x:f>
        <x:v>0.5166666666666667</x:v>
      </x:c>
      <x:c r="S362" s="28" t="n">
        <x:f>IFERROR(N362/J362,0)</x:f>
        <x:v>783.3528571428571</x:v>
      </x:c>
      <x:c r="T362" s="28" t="n">
        <x:f>IFERROR(N362/K362,0)</x:f>
        <x:v>1188.0851666666667</x:v>
      </x:c>
      <x:c r="U362" s="28" t="n">
        <x:f>IFERROR(N362/L362,0)</x:f>
        <x:v>2299.519677419355</x:v>
      </x:c>
    </x:row>
    <x:row r="363">
      <x:c r="A363" t="n">
        <x:v>362</x:v>
      </x:c>
      <x:c r="B363" s="26" t="n">
        <x:v>46114</x:v>
      </x:c>
      <x:c r="C363" t="str">
        <x:v>CPO_Always_On</x:v>
      </x:c>
      <x:c r="D363" t="str">
        <x:v>Google Ads</x:v>
      </x:c>
      <x:c r="E363" t="str">
        <x:v>Jovem Profissional</x:v>
      </x:c>
      <x:c r="F363" t="str">
        <x:v>Luanda</x:v>
      </x:c>
      <x:c r="G363" t="str">
        <x:v>iOS</x:v>
      </x:c>
      <x:c r="H363" t="n">
        <x:v>14320</x:v>
      </x:c>
      <x:c r="I363" t="n">
        <x:v>435</x:v>
      </x:c>
      <x:c r="J363" t="n">
        <x:v>64</x:v>
      </x:c>
      <x:c r="K363" t="n">
        <x:v>27</x:v>
      </x:c>
      <x:c r="L363" t="n">
        <x:v>15</x:v>
      </x:c>
      <x:c r="M363" s="28" t="n">
        <x:v>17137941.19</x:v>
      </x:c>
      <x:c r="N363" s="28" t="n">
        <x:v>79484.7</x:v>
      </x:c>
      <x:c r="O363" s="30" t="n">
        <x:f>IFERROR(I363/H363,0)</x:f>
        <x:v>0.03037709497206704</x:v>
      </x:c>
      <x:c r="P363" s="30" t="n">
        <x:f>IFERROR(J363/I363,0)</x:f>
        <x:v>0.1471264367816092</x:v>
      </x:c>
      <x:c r="Q363" s="30" t="n">
        <x:f>IFERROR(K363/J363,0)</x:f>
        <x:v>0.421875</x:v>
      </x:c>
      <x:c r="R363" s="30" t="n">
        <x:f>IFERROR(L363/K363,0)</x:f>
        <x:v>0.5555555555555556</x:v>
      </x:c>
      <x:c r="S363" s="28" t="n">
        <x:f>IFERROR(N363/J363,0)</x:f>
        <x:v>1241.9484375</x:v>
      </x:c>
      <x:c r="T363" s="28" t="n">
        <x:f>IFERROR(N363/K363,0)</x:f>
        <x:v>2943.8777777777777</x:v>
      </x:c>
      <x:c r="U363" s="28" t="n">
        <x:f>IFERROR(N363/L363,0)</x:f>
        <x:v>5298.98</x:v>
      </x:c>
    </x:row>
    <x:row r="364">
      <x:c r="A364" t="n">
        <x:v>363</x:v>
      </x:c>
      <x:c r="B364" s="26" t="n">
        <x:v>46114</x:v>
      </x:c>
      <x:c r="C364" t="str">
        <x:v>CPO_Digital_360</x:v>
      </x:c>
      <x:c r="D364" t="str">
        <x:v>Meta Ads</x:v>
      </x:c>
      <x:c r="E364" t="str">
        <x:v>Funcionário Público</x:v>
      </x:c>
      <x:c r="F364" t="str">
        <x:v>Malanje</x:v>
      </x:c>
      <x:c r="G364" t="str">
        <x:v>Android</x:v>
      </x:c>
      <x:c r="H364" t="n">
        <x:v>20155</x:v>
      </x:c>
      <x:c r="I364" t="n">
        <x:v>476</x:v>
      </x:c>
      <x:c r="J364" t="n">
        <x:v>52</x:v>
      </x:c>
      <x:c r="K364" t="n">
        <x:v>36</x:v>
      </x:c>
      <x:c r="L364" t="n">
        <x:v>26</x:v>
      </x:c>
      <x:c r="M364" s="28" t="n">
        <x:v>47909226.45</x:v>
      </x:c>
      <x:c r="N364" s="28" t="n">
        <x:v>76862.65</x:v>
      </x:c>
      <x:c r="O364" s="30" t="n">
        <x:f>IFERROR(I364/H364,0)</x:f>
        <x:v>0.023616968494170183</x:v>
      </x:c>
      <x:c r="P364" s="30" t="n">
        <x:f>IFERROR(J364/I364,0)</x:f>
        <x:v>0.1092436974789916</x:v>
      </x:c>
      <x:c r="Q364" s="30" t="n">
        <x:f>IFERROR(K364/J364,0)</x:f>
        <x:v>0.6923076923076923</x:v>
      </x:c>
      <x:c r="R364" s="30" t="n">
        <x:f>IFERROR(L364/K364,0)</x:f>
        <x:v>0.7222222222222222</x:v>
      </x:c>
      <x:c r="S364" s="28" t="n">
        <x:f>IFERROR(N364/J364,0)</x:f>
        <x:v>1478.1278846153846</x:v>
      </x:c>
      <x:c r="T364" s="28" t="n">
        <x:f>IFERROR(N364/K364,0)</x:f>
        <x:v>2135.073611111111</x:v>
      </x:c>
      <x:c r="U364" s="28" t="n">
        <x:f>IFERROR(N364/L364,0)</x:f>
        <x:v>2956.255769230769</x:v>
      </x:c>
    </x:row>
    <x:row r="365">
      <x:c r="A365" t="n">
        <x:v>364</x:v>
      </x:c>
      <x:c r="B365" s="26" t="n">
        <x:v>46114</x:v>
      </x:c>
      <x:c r="C365" t="str">
        <x:v>CPO_Always_On</x:v>
      </x:c>
      <x:c r="D365" t="str">
        <x:v>E-mail</x:v>
      </x:c>
      <x:c r="E365" t="str">
        <x:v>Pequeno Negócio</x:v>
      </x:c>
      <x:c r="F365" t="str">
        <x:v>Uíge</x:v>
      </x:c>
      <x:c r="G365" t="str">
        <x:v>Android</x:v>
      </x:c>
      <x:c r="H365" t="n">
        <x:v>11386</x:v>
      </x:c>
      <x:c r="I365" t="n">
        <x:v>682</x:v>
      </x:c>
      <x:c r="J365" t="n">
        <x:v>48</x:v>
      </x:c>
      <x:c r="K365" t="n">
        <x:v>19</x:v>
      </x:c>
      <x:c r="L365" t="n">
        <x:v>8</x:v>
      </x:c>
      <x:c r="M365" s="28" t="n">
        <x:v>19692847.72</x:v>
      </x:c>
      <x:c r="N365" s="28" t="n">
        <x:v>64428.26</x:v>
      </x:c>
      <x:c r="O365" s="30" t="n">
        <x:f>IFERROR(I365/H365,0)</x:f>
        <x:v>0.059898120498858246</x:v>
      </x:c>
      <x:c r="P365" s="30" t="n">
        <x:f>IFERROR(J365/I365,0)</x:f>
        <x:v>0.07038123167155426</x:v>
      </x:c>
      <x:c r="Q365" s="30" t="n">
        <x:f>IFERROR(K365/J365,0)</x:f>
        <x:v>0.3958333333333333</x:v>
      </x:c>
      <x:c r="R365" s="30" t="n">
        <x:f>IFERROR(L365/K365,0)</x:f>
        <x:v>0.42105263157894735</x:v>
      </x:c>
      <x:c r="S365" s="28" t="n">
        <x:f>IFERROR(N365/J365,0)</x:f>
        <x:v>1342.2554166666666</x:v>
      </x:c>
      <x:c r="T365" s="28" t="n">
        <x:f>IFERROR(N365/K365,0)</x:f>
        <x:v>3390.961052631579</x:v>
      </x:c>
      <x:c r="U365" s="28" t="n">
        <x:f>IFERROR(N365/L365,0)</x:f>
        <x:v>8053.5325</x:v>
      </x:c>
    </x:row>
    <x:row r="366">
      <x:c r="A366" t="n">
        <x:v>365</x:v>
      </x:c>
      <x:c r="B366" s="26" t="n">
        <x:v>46115</x:v>
      </x:c>
      <x:c r="C366" t="str">
        <x:v>CPO_Always_On</x:v>
      </x:c>
      <x:c r="D366" t="str">
        <x:v>Google Ads</x:v>
      </x:c>
      <x:c r="E366" t="str">
        <x:v>Assalariado</x:v>
      </x:c>
      <x:c r="F366" t="str">
        <x:v>Huambo</x:v>
      </x:c>
      <x:c r="G366" t="str">
        <x:v>Android</x:v>
      </x:c>
      <x:c r="H366" t="n">
        <x:v>10547</x:v>
      </x:c>
      <x:c r="I366" t="n">
        <x:v>341</x:v>
      </x:c>
      <x:c r="J366" t="n">
        <x:v>54</x:v>
      </x:c>
      <x:c r="K366" t="n">
        <x:v>41</x:v>
      </x:c>
      <x:c r="L366" t="n">
        <x:v>32</x:v>
      </x:c>
      <x:c r="M366" s="28" t="n">
        <x:v>77289150.35</x:v>
      </x:c>
      <x:c r="N366" s="28" t="n">
        <x:v>54357.11</x:v>
      </x:c>
      <x:c r="O366" s="30" t="n">
        <x:f>IFERROR(I366/H366,0)</x:f>
        <x:v>0.032331468664075096</x:v>
      </x:c>
      <x:c r="P366" s="30" t="n">
        <x:f>IFERROR(J366/I366,0)</x:f>
        <x:v>0.15835777126099707</x:v>
      </x:c>
      <x:c r="Q366" s="30" t="n">
        <x:f>IFERROR(K366/J366,0)</x:f>
        <x:v>0.7592592592592593</x:v>
      </x:c>
      <x:c r="R366" s="30" t="n">
        <x:f>IFERROR(L366/K366,0)</x:f>
        <x:v>0.7804878048780488</x:v>
      </x:c>
      <x:c r="S366" s="28" t="n">
        <x:f>IFERROR(N366/J366,0)</x:f>
        <x:v>1006.6131481481482</x:v>
      </x:c>
      <x:c r="T366" s="28" t="n">
        <x:f>IFERROR(N366/K366,0)</x:f>
        <x:v>1325.7831707317073</x:v>
      </x:c>
      <x:c r="U366" s="28" t="n">
        <x:f>IFERROR(N366/L366,0)</x:f>
        <x:v>1698.6596875</x:v>
      </x:c>
    </x:row>
    <x:row r="367">
      <x:c r="A367" t="n">
        <x:v>366</x:v>
      </x:c>
      <x:c r="B367" s="26" t="n">
        <x:v>46115</x:v>
      </x:c>
      <x:c r="C367" t="str">
        <x:v>CPO_Digital_360</x:v>
      </x:c>
      <x:c r="D367" t="str">
        <x:v>TikTok Ads</x:v>
      </x:c>
      <x:c r="E367" t="str">
        <x:v>Jovem Profissional</x:v>
      </x:c>
      <x:c r="F367" t="str">
        <x:v>Luanda</x:v>
      </x:c>
      <x:c r="G367" t="str">
        <x:v>Android</x:v>
      </x:c>
      <x:c r="H367" t="n">
        <x:v>26267</x:v>
      </x:c>
      <x:c r="I367" t="n">
        <x:v>585</x:v>
      </x:c>
      <x:c r="J367" t="n">
        <x:v>49</x:v>
      </x:c>
      <x:c r="K367" t="n">
        <x:v>29</x:v>
      </x:c>
      <x:c r="L367" t="n">
        <x:v>12</x:v>
      </x:c>
      <x:c r="M367" s="28" t="n">
        <x:v>14788135.21</x:v>
      </x:c>
      <x:c r="N367" s="28" t="n">
        <x:v>63003.46</x:v>
      </x:c>
      <x:c r="O367" s="30" t="n">
        <x:f>IFERROR(I367/H367,0)</x:f>
        <x:v>0.022271290973464804</x:v>
      </x:c>
      <x:c r="P367" s="30" t="n">
        <x:f>IFERROR(J367/I367,0)</x:f>
        <x:v>0.08376068376068375</x:v>
      </x:c>
      <x:c r="Q367" s="30" t="n">
        <x:f>IFERROR(K367/J367,0)</x:f>
        <x:v>0.5918367346938775</x:v>
      </x:c>
      <x:c r="R367" s="30" t="n">
        <x:f>IFERROR(L367/K367,0)</x:f>
        <x:v>0.41379310344827586</x:v>
      </x:c>
      <x:c r="S367" s="28" t="n">
        <x:f>IFERROR(N367/J367,0)</x:f>
        <x:v>1285.7848979591836</x:v>
      </x:c>
      <x:c r="T367" s="28" t="n">
        <x:f>IFERROR(N367/K367,0)</x:f>
        <x:v>2172.533103448276</x:v>
      </x:c>
      <x:c r="U367" s="28" t="n">
        <x:f>IFERROR(N367/L367,0)</x:f>
        <x:v>5250.288333333333</x:v>
      </x:c>
    </x:row>
    <x:row r="368">
      <x:c r="A368" t="n">
        <x:v>367</x:v>
      </x:c>
      <x:c r="B368" s="26" t="n">
        <x:v>46115</x:v>
      </x:c>
      <x:c r="C368" t="str">
        <x:v>CPO_Always_On</x:v>
      </x:c>
      <x:c r="D368" t="str">
        <x:v>E-mail</x:v>
      </x:c>
      <x:c r="E368" t="str">
        <x:v>Funcionário Público</x:v>
      </x:c>
      <x:c r="F368" t="str">
        <x:v>Luanda</x:v>
      </x:c>
      <x:c r="G368" t="str">
        <x:v>Android</x:v>
      </x:c>
      <x:c r="H368" t="n">
        <x:v>8820</x:v>
      </x:c>
      <x:c r="I368" t="n">
        <x:v>511</x:v>
      </x:c>
      <x:c r="J368" t="n">
        <x:v>36</x:v>
      </x:c>
      <x:c r="K368" t="n">
        <x:v>32</x:v>
      </x:c>
      <x:c r="L368" t="n">
        <x:v>26</x:v>
      </x:c>
      <x:c r="M368" s="28" t="n">
        <x:v>48504785.26</x:v>
      </x:c>
      <x:c r="N368" s="28" t="n">
        <x:v>158248.75</x:v>
      </x:c>
      <x:c r="O368" s="30" t="n">
        <x:f>IFERROR(I368/H368,0)</x:f>
        <x:v>0.05793650793650794</x:v>
      </x:c>
      <x:c r="P368" s="30" t="n">
        <x:f>IFERROR(J368/I368,0)</x:f>
        <x:v>0.07045009784735812</x:v>
      </x:c>
      <x:c r="Q368" s="30" t="n">
        <x:f>IFERROR(K368/J368,0)</x:f>
        <x:v>0.8888888888888888</x:v>
      </x:c>
      <x:c r="R368" s="30" t="n">
        <x:f>IFERROR(L368/K368,0)</x:f>
        <x:v>0.8125</x:v>
      </x:c>
      <x:c r="S368" s="28" t="n">
        <x:f>IFERROR(N368/J368,0)</x:f>
        <x:v>4395.798611111111</x:v>
      </x:c>
      <x:c r="T368" s="28" t="n">
        <x:f>IFERROR(N368/K368,0)</x:f>
        <x:v>4945.2734375</x:v>
      </x:c>
      <x:c r="U368" s="28" t="n">
        <x:f>IFERROR(N368/L368,0)</x:f>
        <x:v>6086.490384615385</x:v>
      </x:c>
    </x:row>
    <x:row r="369">
      <x:c r="A369" t="n">
        <x:v>368</x:v>
      </x:c>
      <x:c r="B369" s="26" t="n">
        <x:v>46115</x:v>
      </x:c>
      <x:c r="C369" t="str">
        <x:v>CPO_Always_On</x:v>
      </x:c>
      <x:c r="D369" t="str">
        <x:v>BAI Directo/App</x:v>
      </x:c>
      <x:c r="E369" t="str">
        <x:v>Premium</x:v>
      </x:c>
      <x:c r="F369" t="str">
        <x:v>Luanda</x:v>
      </x:c>
      <x:c r="G369" t="str">
        <x:v>iOS</x:v>
      </x:c>
      <x:c r="H369" t="n">
        <x:v>6094</x:v>
      </x:c>
      <x:c r="I369" t="n">
        <x:v>675</x:v>
      </x:c>
      <x:c r="J369" t="n">
        <x:v>173</x:v>
      </x:c>
      <x:c r="K369" t="n">
        <x:v>123</x:v>
      </x:c>
      <x:c r="L369" t="n">
        <x:v>95</x:v>
      </x:c>
      <x:c r="M369" s="28" t="n">
        <x:v>509281500.57</x:v>
      </x:c>
      <x:c r="N369" s="28" t="n">
        <x:v>99597.38</x:v>
      </x:c>
      <x:c r="O369" s="30" t="n">
        <x:f>IFERROR(I369/H369,0)</x:f>
        <x:v>0.11076468657696094</x:v>
      </x:c>
      <x:c r="P369" s="30" t="n">
        <x:f>IFERROR(J369/I369,0)</x:f>
        <x:v>0.2562962962962963</x:v>
      </x:c>
      <x:c r="Q369" s="30" t="n">
        <x:f>IFERROR(K369/J369,0)</x:f>
        <x:v>0.7109826589595376</x:v>
      </x:c>
      <x:c r="R369" s="30" t="n">
        <x:f>IFERROR(L369/K369,0)</x:f>
        <x:v>0.7723577235772358</x:v>
      </x:c>
      <x:c r="S369" s="28" t="n">
        <x:f>IFERROR(N369/J369,0)</x:f>
        <x:v>575.7073988439307</x:v>
      </x:c>
      <x:c r="T369" s="28" t="n">
        <x:f>IFERROR(N369/K369,0)</x:f>
        <x:v>809.7347967479675</x:v>
      </x:c>
      <x:c r="U369" s="28" t="n">
        <x:f>IFERROR(N369/L369,0)</x:f>
        <x:v>1048.3934736842107</x:v>
      </x:c>
    </x:row>
    <x:row r="370">
      <x:c r="A370" t="n">
        <x:v>369</x:v>
      </x:c>
      <x:c r="B370" s="26" t="n">
        <x:v>46115</x:v>
      </x:c>
      <x:c r="C370" t="str">
        <x:v>CPO_Acesso_Rapido</x:v>
      </x:c>
      <x:c r="D370" t="str">
        <x:v>BAI Directo/App</x:v>
      </x:c>
      <x:c r="E370" t="str">
        <x:v>Funcionário Público</x:v>
      </x:c>
      <x:c r="F370" t="str">
        <x:v>Luanda</x:v>
      </x:c>
      <x:c r="G370" t="str">
        <x:v>Android</x:v>
      </x:c>
      <x:c r="H370" t="n">
        <x:v>2777</x:v>
      </x:c>
      <x:c r="I370" t="n">
        <x:v>398</x:v>
      </x:c>
      <x:c r="J370" t="n">
        <x:v>75</x:v>
      </x:c>
      <x:c r="K370" t="n">
        <x:v>54</x:v>
      </x:c>
      <x:c r="L370" t="n">
        <x:v>38</x:v>
      </x:c>
      <x:c r="M370" s="28" t="n">
        <x:v>68943808.87</x:v>
      </x:c>
      <x:c r="N370" s="28" t="n">
        <x:v>26553.01</x:v>
      </x:c>
      <x:c r="O370" s="30" t="n">
        <x:f>IFERROR(I370/H370,0)</x:f>
        <x:v>0.14332012963629817</x:v>
      </x:c>
      <x:c r="P370" s="30" t="n">
        <x:f>IFERROR(J370/I370,0)</x:f>
        <x:v>0.1884422110552764</x:v>
      </x:c>
      <x:c r="Q370" s="30" t="n">
        <x:f>IFERROR(K370/J370,0)</x:f>
        <x:v>0.72</x:v>
      </x:c>
      <x:c r="R370" s="30" t="n">
        <x:f>IFERROR(L370/K370,0)</x:f>
        <x:v>0.7037037037037037</x:v>
      </x:c>
      <x:c r="S370" s="28" t="n">
        <x:f>IFERROR(N370/J370,0)</x:f>
        <x:v>354.0401333333333</x:v>
      </x:c>
      <x:c r="T370" s="28" t="n">
        <x:f>IFERROR(N370/K370,0)</x:f>
        <x:v>491.7224074074074</x:v>
      </x:c>
      <x:c r="U370" s="28" t="n">
        <x:f>IFERROR(N370/L370,0)</x:f>
        <x:v>698.7634210526315</x:v>
      </x:c>
    </x:row>
    <x:row r="371">
      <x:c r="A371" t="n">
        <x:v>370</x:v>
      </x:c>
      <x:c r="B371" s="26" t="n">
        <x:v>46116</x:v>
      </x:c>
      <x:c r="C371" t="str">
        <x:v>CPO_Acesso_Rapido</x:v>
      </x:c>
      <x:c r="D371" t="str">
        <x:v>Meta Ads</x:v>
      </x:c>
      <x:c r="E371" t="str">
        <x:v>Funcionário Público</x:v>
      </x:c>
      <x:c r="F371" t="str">
        <x:v>Benguela</x:v>
      </x:c>
      <x:c r="G371" t="str">
        <x:v>Android</x:v>
      </x:c>
      <x:c r="H371" t="n">
        <x:v>27021</x:v>
      </x:c>
      <x:c r="I371" t="n">
        <x:v>531</x:v>
      </x:c>
      <x:c r="J371" t="n">
        <x:v>50</x:v>
      </x:c>
      <x:c r="K371" t="n">
        <x:v>36</x:v>
      </x:c>
      <x:c r="L371" t="n">
        <x:v>19</x:v>
      </x:c>
      <x:c r="M371" s="28" t="n">
        <x:v>32784041.22</x:v>
      </x:c>
      <x:c r="N371" s="28" t="n">
        <x:v>41944.24</x:v>
      </x:c>
      <x:c r="O371" s="30" t="n">
        <x:f>IFERROR(I371/H371,0)</x:f>
        <x:v>0.019651382258243588</x:v>
      </x:c>
      <x:c r="P371" s="30" t="n">
        <x:f>IFERROR(J371/I371,0)</x:f>
        <x:v>0.09416195856873823</x:v>
      </x:c>
      <x:c r="Q371" s="30" t="n">
        <x:f>IFERROR(K371/J371,0)</x:f>
        <x:v>0.72</x:v>
      </x:c>
      <x:c r="R371" s="30" t="n">
        <x:f>IFERROR(L371/K371,0)</x:f>
        <x:v>0.5277777777777778</x:v>
      </x:c>
      <x:c r="S371" s="28" t="n">
        <x:f>IFERROR(N371/J371,0)</x:f>
        <x:v>838.8847999999999</x:v>
      </x:c>
      <x:c r="T371" s="28" t="n">
        <x:f>IFERROR(N371/K371,0)</x:f>
        <x:v>1165.1177777777777</x:v>
      </x:c>
      <x:c r="U371" s="28" t="n">
        <x:f>IFERROR(N371/L371,0)</x:f>
        <x:v>2207.5915789473684</x:v>
      </x:c>
    </x:row>
    <x:row r="372">
      <x:c r="A372" t="n">
        <x:v>371</x:v>
      </x:c>
      <x:c r="B372" s="26" t="n">
        <x:v>46116</x:v>
      </x:c>
      <x:c r="C372" t="str">
        <x:v>CPO_Fim_do_Mes</x:v>
      </x:c>
      <x:c r="D372" t="str">
        <x:v>SMS</x:v>
      </x:c>
      <x:c r="E372" t="str">
        <x:v>Funcionário Público</x:v>
      </x:c>
      <x:c r="F372" t="str">
        <x:v>Luanda</x:v>
      </x:c>
      <x:c r="G372" t="str">
        <x:v>Desktop</x:v>
      </x:c>
      <x:c r="H372" t="n">
        <x:v>11416</x:v>
      </x:c>
      <x:c r="I372" t="n">
        <x:v>1065</x:v>
      </x:c>
      <x:c r="J372" t="n">
        <x:v>134</x:v>
      </x:c>
      <x:c r="K372" t="n">
        <x:v>92</x:v>
      </x:c>
      <x:c r="L372" t="n">
        <x:v>55</x:v>
      </x:c>
      <x:c r="M372" s="28" t="n">
        <x:v>92475808.59</x:v>
      </x:c>
      <x:c r="N372" s="28" t="n">
        <x:v>125858.1</x:v>
      </x:c>
      <x:c r="O372" s="30" t="n">
        <x:f>IFERROR(I372/H372,0)</x:f>
        <x:v>0.09329011913104415</x:v>
      </x:c>
      <x:c r="P372" s="30" t="n">
        <x:f>IFERROR(J372/I372,0)</x:f>
        <x:v>0.12582159624413145</x:v>
      </x:c>
      <x:c r="Q372" s="30" t="n">
        <x:f>IFERROR(K372/J372,0)</x:f>
        <x:v>0.6865671641791045</x:v>
      </x:c>
      <x:c r="R372" s="30" t="n">
        <x:f>IFERROR(L372/K372,0)</x:f>
        <x:v>0.5978260869565217</x:v>
      </x:c>
      <x:c r="S372" s="28" t="n">
        <x:f>IFERROR(N372/J372,0)</x:f>
        <x:v>939.239552238806</x:v>
      </x:c>
      <x:c r="T372" s="28" t="n">
        <x:f>IFERROR(N372/K372,0)</x:f>
        <x:v>1368.0228260869567</x:v>
      </x:c>
      <x:c r="U372" s="28" t="n">
        <x:f>IFERROR(N372/L372,0)</x:f>
        <x:v>2288.329090909091</x:v>
      </x:c>
    </x:row>
    <x:row r="373">
      <x:c r="A373" t="n">
        <x:v>372</x:v>
      </x:c>
      <x:c r="B373" s="26" t="n">
        <x:v>46116</x:v>
      </x:c>
      <x:c r="C373" t="str">
        <x:v>CPO_Fim_do_Mes</x:v>
      </x:c>
      <x:c r="D373" t="str">
        <x:v>BAI Directo/App</x:v>
      </x:c>
      <x:c r="E373" t="str">
        <x:v>Assalariado</x:v>
      </x:c>
      <x:c r="F373" t="str">
        <x:v>Luanda</x:v>
      </x:c>
      <x:c r="G373" t="str">
        <x:v>Desktop</x:v>
      </x:c>
      <x:c r="H373" t="n">
        <x:v>8129</x:v>
      </x:c>
      <x:c r="I373" t="n">
        <x:v>954</x:v>
      </x:c>
      <x:c r="J373" t="n">
        <x:v>195</x:v>
      </x:c>
      <x:c r="K373" t="n">
        <x:v>123</x:v>
      </x:c>
      <x:c r="L373" t="n">
        <x:v>85</x:v>
      </x:c>
      <x:c r="M373" s="28" t="n">
        <x:v>191202299.73</x:v>
      </x:c>
      <x:c r="N373" s="28" t="n">
        <x:v>132468.75</x:v>
      </x:c>
      <x:c r="O373" s="30" t="n">
        <x:f>IFERROR(I373/H373,0)</x:f>
        <x:v>0.11735760856193873</x:v>
      </x:c>
      <x:c r="P373" s="30" t="n">
        <x:f>IFERROR(J373/I373,0)</x:f>
        <x:v>0.20440251572327045</x:v>
      </x:c>
      <x:c r="Q373" s="30" t="n">
        <x:f>IFERROR(K373/J373,0)</x:f>
        <x:v>0.6307692307692307</x:v>
      </x:c>
      <x:c r="R373" s="30" t="n">
        <x:f>IFERROR(L373/K373,0)</x:f>
        <x:v>0.6910569105691057</x:v>
      </x:c>
      <x:c r="S373" s="28" t="n">
        <x:f>IFERROR(N373/J373,0)</x:f>
        <x:v>679.3269230769231</x:v>
      </x:c>
      <x:c r="T373" s="28" t="n">
        <x:f>IFERROR(N373/K373,0)</x:f>
        <x:v>1076.9817073170732</x:v>
      </x:c>
      <x:c r="U373" s="28" t="n">
        <x:f>IFERROR(N373/L373,0)</x:f>
        <x:v>1558.4558823529412</x:v>
      </x:c>
    </x:row>
    <x:row r="374">
      <x:c r="A374" t="n">
        <x:v>373</x:v>
      </x:c>
      <x:c r="B374" s="26" t="n">
        <x:v>46116</x:v>
      </x:c>
      <x:c r="C374" t="str">
        <x:v>CPO_Premium</x:v>
      </x:c>
      <x:c r="D374" t="str">
        <x:v>Google Ads</x:v>
      </x:c>
      <x:c r="E374" t="str">
        <x:v>Pequeno Negócio</x:v>
      </x:c>
      <x:c r="F374" t="str">
        <x:v>Benguela</x:v>
      </x:c>
      <x:c r="G374" t="str">
        <x:v>Android</x:v>
      </x:c>
      <x:c r="H374" t="n">
        <x:v>16422</x:v>
      </x:c>
      <x:c r="I374" t="n">
        <x:v>609</x:v>
      </x:c>
      <x:c r="J374" t="n">
        <x:v>127</x:v>
      </x:c>
      <x:c r="K374" t="n">
        <x:v>49</x:v>
      </x:c>
      <x:c r="L374" t="n">
        <x:v>25</x:v>
      </x:c>
      <x:c r="M374" s="28" t="n">
        <x:v>71307288.75</x:v>
      </x:c>
      <x:c r="N374" s="28" t="n">
        <x:v>31887.2</x:v>
      </x:c>
      <x:c r="O374" s="30" t="n">
        <x:f>IFERROR(I374/H374,0)</x:f>
        <x:v>0.0370843989769821</x:v>
      </x:c>
      <x:c r="P374" s="30" t="n">
        <x:f>IFERROR(J374/I374,0)</x:f>
        <x:v>0.20853858784893267</x:v>
      </x:c>
      <x:c r="Q374" s="30" t="n">
        <x:f>IFERROR(K374/J374,0)</x:f>
        <x:v>0.3858267716535433</x:v>
      </x:c>
      <x:c r="R374" s="30" t="n">
        <x:f>IFERROR(L374/K374,0)</x:f>
        <x:v>0.5102040816326531</x:v>
      </x:c>
      <x:c r="S374" s="28" t="n">
        <x:f>IFERROR(N374/J374,0)</x:f>
        <x:v>251.08031496062992</x:v>
      </x:c>
      <x:c r="T374" s="28" t="n">
        <x:f>IFERROR(N374/K374,0)</x:f>
        <x:v>650.7591836734694</x:v>
      </x:c>
      <x:c r="U374" s="28" t="n">
        <x:f>IFERROR(N374/L374,0)</x:f>
        <x:v>1275.488</x:v>
      </x:c>
    </x:row>
    <x:row r="375">
      <x:c r="A375" t="n">
        <x:v>374</x:v>
      </x:c>
      <x:c r="B375" s="26" t="n">
        <x:v>46117</x:v>
      </x:c>
      <x:c r="C375" t="str">
        <x:v>CPO_Digital_360</x:v>
      </x:c>
      <x:c r="D375" t="str">
        <x:v>E-mail</x:v>
      </x:c>
      <x:c r="E375" t="str">
        <x:v>Assalariado</x:v>
      </x:c>
      <x:c r="F375" t="str">
        <x:v>Luanda</x:v>
      </x:c>
      <x:c r="G375" t="str">
        <x:v>Android</x:v>
      </x:c>
      <x:c r="H375" t="n">
        <x:v>9502</x:v>
      </x:c>
      <x:c r="I375" t="n">
        <x:v>441</x:v>
      </x:c>
      <x:c r="J375" t="n">
        <x:v>38</x:v>
      </x:c>
      <x:c r="K375" t="n">
        <x:v>25</x:v>
      </x:c>
      <x:c r="L375" t="n">
        <x:v>16</x:v>
      </x:c>
      <x:c r="M375" s="28" t="n">
        <x:v>33120653.41</x:v>
      </x:c>
      <x:c r="N375" s="28" t="n">
        <x:v>149261.1</x:v>
      </x:c>
      <x:c r="O375" s="30" t="n">
        <x:f>IFERROR(I375/H375,0)</x:f>
        <x:v>0.04641128183540307</x:v>
      </x:c>
      <x:c r="P375" s="30" t="n">
        <x:f>IFERROR(J375/I375,0)</x:f>
        <x:v>0.08616780045351474</x:v>
      </x:c>
      <x:c r="Q375" s="30" t="n">
        <x:f>IFERROR(K375/J375,0)</x:f>
        <x:v>0.6578947368421053</x:v>
      </x:c>
      <x:c r="R375" s="30" t="n">
        <x:f>IFERROR(L375/K375,0)</x:f>
        <x:v>0.64</x:v>
      </x:c>
      <x:c r="S375" s="28" t="n">
        <x:f>IFERROR(N375/J375,0)</x:f>
        <x:v>3927.9236842105265</x:v>
      </x:c>
      <x:c r="T375" s="28" t="n">
        <x:f>IFERROR(N375/K375,0)</x:f>
        <x:v>5970.444</x:v>
      </x:c>
      <x:c r="U375" s="28" t="n">
        <x:f>IFERROR(N375/L375,0)</x:f>
        <x:v>9328.81875</x:v>
      </x:c>
    </x:row>
    <x:row r="376">
      <x:c r="A376" t="n">
        <x:v>375</x:v>
      </x:c>
      <x:c r="B376" s="26" t="n">
        <x:v>46117</x:v>
      </x:c>
      <x:c r="C376" t="str">
        <x:v>CPO_Always_On</x:v>
      </x:c>
      <x:c r="D376" t="str">
        <x:v>Meta Ads</x:v>
      </x:c>
      <x:c r="E376" t="str">
        <x:v>Assalariado</x:v>
      </x:c>
      <x:c r="F376" t="str">
        <x:v>Cabinda</x:v>
      </x:c>
      <x:c r="G376" t="str">
        <x:v>iOS</x:v>
      </x:c>
      <x:c r="H376" t="n">
        <x:v>25138</x:v>
      </x:c>
      <x:c r="I376" t="n">
        <x:v>550</x:v>
      </x:c>
      <x:c r="J376" t="n">
        <x:v>80</x:v>
      </x:c>
      <x:c r="K376" t="n">
        <x:v>56</x:v>
      </x:c>
      <x:c r="L376" t="n">
        <x:v>42</x:v>
      </x:c>
      <x:c r="M376" s="28" t="n">
        <x:v>88013552.84</x:v>
      </x:c>
      <x:c r="N376" s="28" t="n">
        <x:v>52291.83</x:v>
      </x:c>
      <x:c r="O376" s="30" t="n">
        <x:f>IFERROR(I376/H376,0)</x:f>
        <x:v>0.02187922666878829</x:v>
      </x:c>
      <x:c r="P376" s="30" t="n">
        <x:f>IFERROR(J376/I376,0)</x:f>
        <x:v>0.14545454545454545</x:v>
      </x:c>
      <x:c r="Q376" s="30" t="n">
        <x:f>IFERROR(K376/J376,0)</x:f>
        <x:v>0.7</x:v>
      </x:c>
      <x:c r="R376" s="30" t="n">
        <x:f>IFERROR(L376/K376,0)</x:f>
        <x:v>0.75</x:v>
      </x:c>
      <x:c r="S376" s="28" t="n">
        <x:f>IFERROR(N376/J376,0)</x:f>
        <x:v>653.647875</x:v>
      </x:c>
      <x:c r="T376" s="28" t="n">
        <x:f>IFERROR(N376/K376,0)</x:f>
        <x:v>933.7826785714286</x:v>
      </x:c>
      <x:c r="U376" s="28" t="n">
        <x:f>IFERROR(N376/L376,0)</x:f>
        <x:v>1245.0435714285716</x:v>
      </x:c>
    </x:row>
    <x:row r="377">
      <x:c r="A377" t="n">
        <x:v>376</x:v>
      </x:c>
      <x:c r="B377" s="26" t="n">
        <x:v>46117</x:v>
      </x:c>
      <x:c r="C377" t="str">
        <x:v>CPO_Fim_do_Mes</x:v>
      </x:c>
      <x:c r="D377" t="str">
        <x:v>TikTok Ads</x:v>
      </x:c>
      <x:c r="E377" t="str">
        <x:v>Assalariado</x:v>
      </x:c>
      <x:c r="F377" t="str">
        <x:v>Luanda</x:v>
      </x:c>
      <x:c r="G377" t="str">
        <x:v>Android</x:v>
      </x:c>
      <x:c r="H377" t="n">
        <x:v>7413</x:v>
      </x:c>
      <x:c r="I377" t="n">
        <x:v>130</x:v>
      </x:c>
      <x:c r="J377" t="n">
        <x:v>8</x:v>
      </x:c>
      <x:c r="K377" t="n">
        <x:v>6</x:v>
      </x:c>
      <x:c r="L377" t="n">
        <x:v>4</x:v>
      </x:c>
      <x:c r="M377" s="28" t="n">
        <x:v>9188903.42</x:v>
      </x:c>
      <x:c r="N377" s="28" t="n">
        <x:v>12753.07</x:v>
      </x:c>
      <x:c r="O377" s="30" t="n">
        <x:f>IFERROR(I377/H377,0)</x:f>
        <x:v>0.017536759746391475</x:v>
      </x:c>
      <x:c r="P377" s="30" t="n">
        <x:f>IFERROR(J377/I377,0)</x:f>
        <x:v>0.06153846153846154</x:v>
      </x:c>
      <x:c r="Q377" s="30" t="n">
        <x:f>IFERROR(K377/J377,0)</x:f>
        <x:v>0.75</x:v>
      </x:c>
      <x:c r="R377" s="30" t="n">
        <x:f>IFERROR(L377/K377,0)</x:f>
        <x:v>0.6666666666666666</x:v>
      </x:c>
      <x:c r="S377" s="28" t="n">
        <x:f>IFERROR(N377/J377,0)</x:f>
        <x:v>1594.13375</x:v>
      </x:c>
      <x:c r="T377" s="28" t="n">
        <x:f>IFERROR(N377/K377,0)</x:f>
        <x:v>2125.5116666666668</x:v>
      </x:c>
      <x:c r="U377" s="28" t="n">
        <x:f>IFERROR(N377/L377,0)</x:f>
        <x:v>3188.2675</x:v>
      </x:c>
    </x:row>
    <x:row r="378">
      <x:c r="A378" t="n">
        <x:v>377</x:v>
      </x:c>
      <x:c r="B378" s="26" t="n">
        <x:v>46117</x:v>
      </x:c>
      <x:c r="C378" t="str">
        <x:v>CPO_Always_On</x:v>
      </x:c>
      <x:c r="D378" t="str">
        <x:v>Google Ads</x:v>
      </x:c>
      <x:c r="E378" t="str">
        <x:v>Pequeno Negócio</x:v>
      </x:c>
      <x:c r="F378" t="str">
        <x:v>Luanda</x:v>
      </x:c>
      <x:c r="G378" t="str">
        <x:v>Android</x:v>
      </x:c>
      <x:c r="H378" t="n">
        <x:v>3790</x:v>
      </x:c>
      <x:c r="I378" t="n">
        <x:v>152</x:v>
      </x:c>
      <x:c r="J378" t="n">
        <x:v>23</x:v>
      </x:c>
      <x:c r="K378" t="n">
        <x:v>10</x:v>
      </x:c>
      <x:c r="L378" t="n">
        <x:v>5</x:v>
      </x:c>
      <x:c r="M378" s="28" t="n">
        <x:v>13362084.16</x:v>
      </x:c>
      <x:c r="N378" s="28" t="n">
        <x:v>7214.56</x:v>
      </x:c>
      <x:c r="O378" s="30" t="n">
        <x:f>IFERROR(I378/H378,0)</x:f>
        <x:v>0.04010554089709763</x:v>
      </x:c>
      <x:c r="P378" s="30" t="n">
        <x:f>IFERROR(J378/I378,0)</x:f>
        <x:v>0.1513157894736842</x:v>
      </x:c>
      <x:c r="Q378" s="30" t="n">
        <x:f>IFERROR(K378/J378,0)</x:f>
        <x:v>0.43478260869565216</x:v>
      </x:c>
      <x:c r="R378" s="30" t="n">
        <x:f>IFERROR(L378/K378,0)</x:f>
        <x:v>0.5</x:v>
      </x:c>
      <x:c r="S378" s="28" t="n">
        <x:f>IFERROR(N378/J378,0)</x:f>
        <x:v>313.67652173913046</x:v>
      </x:c>
      <x:c r="T378" s="28" t="n">
        <x:f>IFERROR(N378/K378,0)</x:f>
        <x:v>721.456</x:v>
      </x:c>
      <x:c r="U378" s="28" t="n">
        <x:f>IFERROR(N378/L378,0)</x:f>
        <x:v>1442.912</x:v>
      </x:c>
    </x:row>
    <x:row r="379">
      <x:c r="A379" t="n">
        <x:v>378</x:v>
      </x:c>
      <x:c r="B379" s="26" t="n">
        <x:v>46117</x:v>
      </x:c>
      <x:c r="C379" t="str">
        <x:v>CPO_Digital_360</x:v>
      </x:c>
      <x:c r="D379" t="str">
        <x:v>E-mail</x:v>
      </x:c>
      <x:c r="E379" t="str">
        <x:v>Pequeno Negócio</x:v>
      </x:c>
      <x:c r="F379" t="str">
        <x:v>Luanda</x:v>
      </x:c>
      <x:c r="G379" t="str">
        <x:v>Android</x:v>
      </x:c>
      <x:c r="H379" t="n">
        <x:v>1669</x:v>
      </x:c>
      <x:c r="I379" t="n">
        <x:v>128</x:v>
      </x:c>
      <x:c r="J379" t="n">
        <x:v>11</x:v>
      </x:c>
      <x:c r="K379" t="n">
        <x:v>5</x:v>
      </x:c>
      <x:c r="L379" t="n">
        <x:v>3</x:v>
      </x:c>
      <x:c r="M379" s="28" t="n">
        <x:v>9233770.54</x:v>
      </x:c>
      <x:c r="N379" s="28" t="n">
        <x:v>23364.79</x:v>
      </x:c>
      <x:c r="O379" s="30" t="n">
        <x:f>IFERROR(I379/H379,0)</x:f>
        <x:v>0.07669263031755542</x:v>
      </x:c>
      <x:c r="P379" s="30" t="n">
        <x:f>IFERROR(J379/I379,0)</x:f>
        <x:v>0.0859375</x:v>
      </x:c>
      <x:c r="Q379" s="30" t="n">
        <x:f>IFERROR(K379/J379,0)</x:f>
        <x:v>0.45454545454545453</x:v>
      </x:c>
      <x:c r="R379" s="30" t="n">
        <x:f>IFERROR(L379/K379,0)</x:f>
        <x:v>0.6</x:v>
      </x:c>
      <x:c r="S379" s="28" t="n">
        <x:f>IFERROR(N379/J379,0)</x:f>
        <x:v>2124.0718181818183</x:v>
      </x:c>
      <x:c r="T379" s="28" t="n">
        <x:f>IFERROR(N379/K379,0)</x:f>
        <x:v>4672.9580000000005</x:v>
      </x:c>
      <x:c r="U379" s="28" t="n">
        <x:f>IFERROR(N379/L379,0)</x:f>
        <x:v>7788.263333333333</x:v>
      </x:c>
    </x:row>
    <x:row r="380">
      <x:c r="A380" t="n">
        <x:v>379</x:v>
      </x:c>
      <x:c r="B380" s="26" t="n">
        <x:v>46118</x:v>
      </x:c>
      <x:c r="C380" t="str">
        <x:v>CPO_Salario</x:v>
      </x:c>
      <x:c r="D380" t="str">
        <x:v>Google Ads</x:v>
      </x:c>
      <x:c r="E380" t="str">
        <x:v>Pequeno Negócio</x:v>
      </x:c>
      <x:c r="F380" t="str">
        <x:v>Malanje</x:v>
      </x:c>
      <x:c r="G380" t="str">
        <x:v>Android</x:v>
      </x:c>
      <x:c r="H380" t="n">
        <x:v>19397</x:v>
      </x:c>
      <x:c r="I380" t="n">
        <x:v>499</x:v>
      </x:c>
      <x:c r="J380" t="n">
        <x:v>88</x:v>
      </x:c>
      <x:c r="K380" t="n">
        <x:v>48</x:v>
      </x:c>
      <x:c r="L380" t="n">
        <x:v>26</x:v>
      </x:c>
      <x:c r="M380" s="28" t="n">
        <x:v>73135899.78</x:v>
      </x:c>
      <x:c r="N380" s="28" t="n">
        <x:v>68156.76</x:v>
      </x:c>
      <x:c r="O380" s="30" t="n">
        <x:f>IFERROR(I380/H380,0)</x:f>
        <x:v>0.025725627674382637</x:v>
      </x:c>
      <x:c r="P380" s="30" t="n">
        <x:f>IFERROR(J380/I380,0)</x:f>
        <x:v>0.17635270541082165</x:v>
      </x:c>
      <x:c r="Q380" s="30" t="n">
        <x:f>IFERROR(K380/J380,0)</x:f>
        <x:v>0.5454545454545454</x:v>
      </x:c>
      <x:c r="R380" s="30" t="n">
        <x:f>IFERROR(L380/K380,0)</x:f>
        <x:v>0.5416666666666666</x:v>
      </x:c>
      <x:c r="S380" s="28" t="n">
        <x:f>IFERROR(N380/J380,0)</x:f>
        <x:v>774.5086363636364</x:v>
      </x:c>
      <x:c r="T380" s="28" t="n">
        <x:f>IFERROR(N380/K380,0)</x:f>
        <x:v>1419.9325</x:v>
      </x:c>
      <x:c r="U380" s="28" t="n">
        <x:f>IFERROR(N380/L380,0)</x:f>
        <x:v>2621.413846153846</x:v>
      </x:c>
    </x:row>
    <x:row r="381">
      <x:c r="A381" t="n">
        <x:v>380</x:v>
      </x:c>
      <x:c r="B381" s="26" t="n">
        <x:v>46118</x:v>
      </x:c>
      <x:c r="C381" t="str">
        <x:v>CPO_Digital_360</x:v>
      </x:c>
      <x:c r="D381" t="str">
        <x:v>Google Ads</x:v>
      </x:c>
      <x:c r="E381" t="str">
        <x:v>Premium</x:v>
      </x:c>
      <x:c r="F381" t="str">
        <x:v>Malanje</x:v>
      </x:c>
      <x:c r="G381" t="str">
        <x:v>Android</x:v>
      </x:c>
      <x:c r="H381" t="n">
        <x:v>3886</x:v>
      </x:c>
      <x:c r="I381" t="n">
        <x:v>161</x:v>
      </x:c>
      <x:c r="J381" t="n">
        <x:v>29</x:v>
      </x:c>
      <x:c r="K381" t="n">
        <x:v>24</x:v>
      </x:c>
      <x:c r="L381" t="n">
        <x:v>18</x:v>
      </x:c>
      <x:c r="M381" s="28" t="n">
        <x:v>82185376.75</x:v>
      </x:c>
      <x:c r="N381" s="28" t="n">
        <x:v>23525.95</x:v>
      </x:c>
      <x:c r="O381" s="30" t="n">
        <x:f>IFERROR(I381/H381,0)</x:f>
        <x:v>0.041430777148739065</x:v>
      </x:c>
      <x:c r="P381" s="30" t="n">
        <x:f>IFERROR(J381/I381,0)</x:f>
        <x:v>0.18012422360248448</x:v>
      </x:c>
      <x:c r="Q381" s="30" t="n">
        <x:f>IFERROR(K381/J381,0)</x:f>
        <x:v>0.8275862068965517</x:v>
      </x:c>
      <x:c r="R381" s="30" t="n">
        <x:f>IFERROR(L381/K381,0)</x:f>
        <x:v>0.75</x:v>
      </x:c>
      <x:c r="S381" s="28" t="n">
        <x:f>IFERROR(N381/J381,0)</x:f>
        <x:v>811.2396551724138</x:v>
      </x:c>
      <x:c r="T381" s="28" t="n">
        <x:f>IFERROR(N381/K381,0)</x:f>
        <x:v>980.2479166666667</x:v>
      </x:c>
      <x:c r="U381" s="28" t="n">
        <x:f>IFERROR(N381/L381,0)</x:f>
        <x:v>1306.9972222222223</x:v>
      </x:c>
    </x:row>
    <x:row r="382">
      <x:c r="A382" t="n">
        <x:v>381</x:v>
      </x:c>
      <x:c r="B382" s="26" t="n">
        <x:v>46118</x:v>
      </x:c>
      <x:c r="C382" t="str">
        <x:v>CPO_Always_On</x:v>
      </x:c>
      <x:c r="D382" t="str">
        <x:v>E-mail</x:v>
      </x:c>
      <x:c r="E382" t="str">
        <x:v>Jovem Profissional</x:v>
      </x:c>
      <x:c r="F382" t="str">
        <x:v>Cuanza Sul</x:v>
      </x:c>
      <x:c r="G382" t="str">
        <x:v>Android</x:v>
      </x:c>
      <x:c r="H382" t="n">
        <x:v>3099</x:v>
      </x:c>
      <x:c r="I382" t="n">
        <x:v>188</x:v>
      </x:c>
      <x:c r="J382" t="n">
        <x:v>13</x:v>
      </x:c>
      <x:c r="K382" t="n">
        <x:v>7</x:v>
      </x:c>
      <x:c r="L382" t="n">
        <x:v>5</x:v>
      </x:c>
      <x:c r="M382" s="28" t="n">
        <x:v>8553962.41</x:v>
      </x:c>
      <x:c r="N382" s="28" t="n">
        <x:v>20398.41</x:v>
      </x:c>
      <x:c r="O382" s="30" t="n">
        <x:f>IFERROR(I382/H382,0)</x:f>
        <x:v>0.060664730558244596</x:v>
      </x:c>
      <x:c r="P382" s="30" t="n">
        <x:f>IFERROR(J382/I382,0)</x:f>
        <x:v>0.06914893617021277</x:v>
      </x:c>
      <x:c r="Q382" s="30" t="n">
        <x:f>IFERROR(K382/J382,0)</x:f>
        <x:v>0.5384615384615384</x:v>
      </x:c>
      <x:c r="R382" s="30" t="n">
        <x:f>IFERROR(L382/K382,0)</x:f>
        <x:v>0.7142857142857143</x:v>
      </x:c>
      <x:c r="S382" s="28" t="n">
        <x:f>IFERROR(N382/J382,0)</x:f>
        <x:v>1569.1084615384616</x:v>
      </x:c>
      <x:c r="T382" s="28" t="n">
        <x:f>IFERROR(N382/K382,0)</x:f>
        <x:v>2914.058571428571</x:v>
      </x:c>
      <x:c r="U382" s="28" t="n">
        <x:f>IFERROR(N382/L382,0)</x:f>
        <x:v>4079.682</x:v>
      </x:c>
    </x:row>
    <x:row r="383">
      <x:c r="A383" t="n">
        <x:v>382</x:v>
      </x:c>
      <x:c r="B383" s="26" t="n">
        <x:v>46118</x:v>
      </x:c>
      <x:c r="C383" t="str">
        <x:v>CPO_Salario</x:v>
      </x:c>
      <x:c r="D383" t="str">
        <x:v>Google Ads</x:v>
      </x:c>
      <x:c r="E383" t="str">
        <x:v>Jovem Profissional</x:v>
      </x:c>
      <x:c r="F383" t="str">
        <x:v>Malanje</x:v>
      </x:c>
      <x:c r="G383" t="str">
        <x:v>iOS</x:v>
      </x:c>
      <x:c r="H383" t="n">
        <x:v>19742</x:v>
      </x:c>
      <x:c r="I383" t="n">
        <x:v>606</x:v>
      </x:c>
      <x:c r="J383" t="n">
        <x:v>112</x:v>
      </x:c>
      <x:c r="K383" t="n">
        <x:v>58</x:v>
      </x:c>
      <x:c r="L383" t="n">
        <x:v>28</x:v>
      </x:c>
      <x:c r="M383" s="28" t="n">
        <x:v>34135571.98</x:v>
      </x:c>
      <x:c r="N383" s="28" t="n">
        <x:v>67840.73</x:v>
      </x:c>
      <x:c r="O383" s="30" t="n">
        <x:f>IFERROR(I383/H383,0)</x:f>
        <x:v>0.03069597811771857</x:v>
      </x:c>
      <x:c r="P383" s="30" t="n">
        <x:f>IFERROR(J383/I383,0)</x:f>
        <x:v>0.1848184818481848</x:v>
      </x:c>
      <x:c r="Q383" s="30" t="n">
        <x:f>IFERROR(K383/J383,0)</x:f>
        <x:v>0.5178571428571429</x:v>
      </x:c>
      <x:c r="R383" s="30" t="n">
        <x:f>IFERROR(L383/K383,0)</x:f>
        <x:v>0.4827586206896552</x:v>
      </x:c>
      <x:c r="S383" s="28" t="n">
        <x:f>IFERROR(N383/J383,0)</x:f>
        <x:v>605.7208035714285</x:v>
      </x:c>
      <x:c r="T383" s="28" t="n">
        <x:f>IFERROR(N383/K383,0)</x:f>
        <x:v>1169.6677586206895</x:v>
      </x:c>
      <x:c r="U383" s="28" t="n">
        <x:f>IFERROR(N383/L383,0)</x:f>
        <x:v>2422.883214285714</x:v>
      </x:c>
    </x:row>
    <x:row r="384">
      <x:c r="A384" t="n">
        <x:v>383</x:v>
      </x:c>
      <x:c r="B384" s="26" t="n">
        <x:v>46118</x:v>
      </x:c>
      <x:c r="C384" t="str">
        <x:v>CPO_Fim_do_Mes</x:v>
      </x:c>
      <x:c r="D384" t="str">
        <x:v>E-mail</x:v>
      </x:c>
      <x:c r="E384" t="str">
        <x:v>Funcionário Público</x:v>
      </x:c>
      <x:c r="F384" t="str">
        <x:v>Cabinda</x:v>
      </x:c>
      <x:c r="G384" t="str">
        <x:v>iOS</x:v>
      </x:c>
      <x:c r="H384" t="n">
        <x:v>1037</x:v>
      </x:c>
      <x:c r="I384" t="n">
        <x:v>65</x:v>
      </x:c>
      <x:c r="J384" t="n">
        <x:v>7</x:v>
      </x:c>
      <x:c r="K384" t="n">
        <x:v>6</x:v>
      </x:c>
      <x:c r="L384" t="n">
        <x:v>3</x:v>
      </x:c>
      <x:c r="M384" s="28" t="n">
        <x:v>5769537.68</x:v>
      </x:c>
      <x:c r="N384" s="28" t="n">
        <x:v>5100.59</x:v>
      </x:c>
      <x:c r="O384" s="30" t="n">
        <x:f>IFERROR(I384/H384,0)</x:f>
        <x:v>0.0626808100289296</x:v>
      </x:c>
      <x:c r="P384" s="30" t="n">
        <x:f>IFERROR(J384/I384,0)</x:f>
        <x:v>0.1076923076923077</x:v>
      </x:c>
      <x:c r="Q384" s="30" t="n">
        <x:f>IFERROR(K384/J384,0)</x:f>
        <x:v>0.8571428571428571</x:v>
      </x:c>
      <x:c r="R384" s="30" t="n">
        <x:f>IFERROR(L384/K384,0)</x:f>
        <x:v>0.5</x:v>
      </x:c>
      <x:c r="S384" s="28" t="n">
        <x:f>IFERROR(N384/J384,0)</x:f>
        <x:v>728.6557142857143</x:v>
      </x:c>
      <x:c r="T384" s="28" t="n">
        <x:f>IFERROR(N384/K384,0)</x:f>
        <x:v>850.0983333333334</x:v>
      </x:c>
      <x:c r="U384" s="28" t="n">
        <x:f>IFERROR(N384/L384,0)</x:f>
        <x:v>1700.1966666666667</x:v>
      </x:c>
    </x:row>
    <x:row r="385">
      <x:c r="A385" t="n">
        <x:v>384</x:v>
      </x:c>
      <x:c r="B385" s="26" t="n">
        <x:v>46119</x:v>
      </x:c>
      <x:c r="C385" t="str">
        <x:v>CPO_Premium</x:v>
      </x:c>
      <x:c r="D385" t="str">
        <x:v>E-mail</x:v>
      </x:c>
      <x:c r="E385" t="str">
        <x:v>Assalariado</x:v>
      </x:c>
      <x:c r="F385" t="str">
        <x:v>Luanda</x:v>
      </x:c>
      <x:c r="G385" t="str">
        <x:v>Android</x:v>
      </x:c>
      <x:c r="H385" t="n">
        <x:v>11333</x:v>
      </x:c>
      <x:c r="I385" t="n">
        <x:v>558</x:v>
      </x:c>
      <x:c r="J385" t="n">
        <x:v>54</x:v>
      </x:c>
      <x:c r="K385" t="n">
        <x:v>34</x:v>
      </x:c>
      <x:c r="L385" t="n">
        <x:v>21</x:v>
      </x:c>
      <x:c r="M385" s="28" t="n">
        <x:v>49527520.73</x:v>
      </x:c>
      <x:c r="N385" s="28" t="n">
        <x:v>176465.9</x:v>
      </x:c>
      <x:c r="O385" s="30" t="n">
        <x:f>IFERROR(I385/H385,0)</x:f>
        <x:v>0.04923674225712521</x:v>
      </x:c>
      <x:c r="P385" s="30" t="n">
        <x:f>IFERROR(J385/I385,0)</x:f>
        <x:v>0.0967741935483871</x:v>
      </x:c>
      <x:c r="Q385" s="30" t="n">
        <x:f>IFERROR(K385/J385,0)</x:f>
        <x:v>0.6296296296296297</x:v>
      </x:c>
      <x:c r="R385" s="30" t="n">
        <x:f>IFERROR(L385/K385,0)</x:f>
        <x:v>0.6176470588235294</x:v>
      </x:c>
      <x:c r="S385" s="28" t="n">
        <x:f>IFERROR(N385/J385,0)</x:f>
        <x:v>3267.887037037037</x:v>
      </x:c>
      <x:c r="T385" s="28" t="n">
        <x:f>IFERROR(N385/K385,0)</x:f>
        <x:v>5190.173529411764</x:v>
      </x:c>
      <x:c r="U385" s="28" t="n">
        <x:f>IFERROR(N385/L385,0)</x:f>
        <x:v>8403.138095238095</x:v>
      </x:c>
    </x:row>
    <x:row r="386">
      <x:c r="A386" t="n">
        <x:v>385</x:v>
      </x:c>
      <x:c r="B386" s="26" t="n">
        <x:v>46119</x:v>
      </x:c>
      <x:c r="C386" t="str">
        <x:v>CPO_Salario</x:v>
      </x:c>
      <x:c r="D386" t="str">
        <x:v>E-mail</x:v>
      </x:c>
      <x:c r="E386" t="str">
        <x:v>Jovem Profissional</x:v>
      </x:c>
      <x:c r="F386" t="str">
        <x:v>Cabinda</x:v>
      </x:c>
      <x:c r="G386" t="str">
        <x:v>Android</x:v>
      </x:c>
      <x:c r="H386" t="n">
        <x:v>3483</x:v>
      </x:c>
      <x:c r="I386" t="n">
        <x:v>245</x:v>
      </x:c>
      <x:c r="J386" t="n">
        <x:v>22</x:v>
      </x:c>
      <x:c r="K386" t="n">
        <x:v>11</x:v>
      </x:c>
      <x:c r="L386" t="n">
        <x:v>6</x:v>
      </x:c>
      <x:c r="M386" s="28" t="n">
        <x:v>7812781.25</x:v>
      </x:c>
      <x:c r="N386" s="28" t="n">
        <x:v>55237.45</x:v>
      </x:c>
      <x:c r="O386" s="30" t="n">
        <x:f>IFERROR(I386/H386,0)</x:f>
        <x:v>0.07034165948894631</x:v>
      </x:c>
      <x:c r="P386" s="30" t="n">
        <x:f>IFERROR(J386/I386,0)</x:f>
        <x:v>0.08979591836734693</x:v>
      </x:c>
      <x:c r="Q386" s="30" t="n">
        <x:f>IFERROR(K386/J386,0)</x:f>
        <x:v>0.5</x:v>
      </x:c>
      <x:c r="R386" s="30" t="n">
        <x:f>IFERROR(L386/K386,0)</x:f>
        <x:v>0.5454545454545454</x:v>
      </x:c>
      <x:c r="S386" s="28" t="n">
        <x:f>IFERROR(N386/J386,0)</x:f>
        <x:v>2510.793181818182</x:v>
      </x:c>
      <x:c r="T386" s="28" t="n">
        <x:f>IFERROR(N386/K386,0)</x:f>
        <x:v>5021.586363636364</x:v>
      </x:c>
      <x:c r="U386" s="28" t="n">
        <x:f>IFERROR(N386/L386,0)</x:f>
        <x:v>9206.241666666667</x:v>
      </x:c>
    </x:row>
    <x:row r="387">
      <x:c r="A387" t="n">
        <x:v>386</x:v>
      </x:c>
      <x:c r="B387" s="26" t="n">
        <x:v>46119</x:v>
      </x:c>
      <x:c r="C387" t="str">
        <x:v>CPO_Always_On</x:v>
      </x:c>
      <x:c r="D387" t="str">
        <x:v>TikTok Ads</x:v>
      </x:c>
      <x:c r="E387" t="str">
        <x:v>Jovem Profissional</x:v>
      </x:c>
      <x:c r="F387" t="str">
        <x:v>Benguela</x:v>
      </x:c>
      <x:c r="G387" t="str">
        <x:v>Android</x:v>
      </x:c>
      <x:c r="H387" t="n">
        <x:v>3904</x:v>
      </x:c>
      <x:c r="I387" t="n">
        <x:v>67</x:v>
      </x:c>
      <x:c r="J387" t="n">
        <x:v>4</x:v>
      </x:c>
      <x:c r="K387" t="n">
        <x:v>2</x:v>
      </x:c>
      <x:c r="L387" t="n">
        <x:v>1</x:v>
      </x:c>
      <x:c r="M387" s="28" t="n">
        <x:v>883088.46</x:v>
      </x:c>
      <x:c r="N387" s="28" t="n">
        <x:v>7244.63</x:v>
      </x:c>
      <x:c r="O387" s="30" t="n">
        <x:f>IFERROR(I387/H387,0)</x:f>
        <x:v>0.01716188524590164</x:v>
      </x:c>
      <x:c r="P387" s="30" t="n">
        <x:f>IFERROR(J387/I387,0)</x:f>
        <x:v>0.05970149253731343</x:v>
      </x:c>
      <x:c r="Q387" s="30" t="n">
        <x:f>IFERROR(K387/J387,0)</x:f>
        <x:v>0.5</x:v>
      </x:c>
      <x:c r="R387" s="30" t="n">
        <x:f>IFERROR(L387/K387,0)</x:f>
        <x:v>0.5</x:v>
      </x:c>
      <x:c r="S387" s="28" t="n">
        <x:f>IFERROR(N387/J387,0)</x:f>
        <x:v>1811.1575</x:v>
      </x:c>
      <x:c r="T387" s="28" t="n">
        <x:f>IFERROR(N387/K387,0)</x:f>
        <x:v>3622.315</x:v>
      </x:c>
      <x:c r="U387" s="28" t="n">
        <x:f>IFERROR(N387/L387,0)</x:f>
        <x:v>7244.63</x:v>
      </x:c>
    </x:row>
    <x:row r="388">
      <x:c r="A388" t="n">
        <x:v>387</x:v>
      </x:c>
      <x:c r="B388" s="26" t="n">
        <x:v>46119</x:v>
      </x:c>
      <x:c r="C388" t="str">
        <x:v>CPO_Always_On</x:v>
      </x:c>
      <x:c r="D388" t="str">
        <x:v>BAI Directo/App</x:v>
      </x:c>
      <x:c r="E388" t="str">
        <x:v>Assalariado</x:v>
      </x:c>
      <x:c r="F388" t="str">
        <x:v>Benguela</x:v>
      </x:c>
      <x:c r="G388" t="str">
        <x:v>Android</x:v>
      </x:c>
      <x:c r="H388" t="n">
        <x:v>3010</x:v>
      </x:c>
      <x:c r="I388" t="n">
        <x:v>335</x:v>
      </x:c>
      <x:c r="J388" t="n">
        <x:v>48</x:v>
      </x:c>
      <x:c r="K388" t="n">
        <x:v>36</x:v>
      </x:c>
      <x:c r="L388" t="n">
        <x:v>31</x:v>
      </x:c>
      <x:c r="M388" s="28" t="n">
        <x:v>68033670.69</x:v>
      </x:c>
      <x:c r="N388" s="28" t="n">
        <x:v>42877.3</x:v>
      </x:c>
      <x:c r="O388" s="30" t="n">
        <x:f>IFERROR(I388/H388,0)</x:f>
        <x:v>0.11129568106312292</x:v>
      </x:c>
      <x:c r="P388" s="30" t="n">
        <x:f>IFERROR(J388/I388,0)</x:f>
        <x:v>0.14328358208955225</x:v>
      </x:c>
      <x:c r="Q388" s="30" t="n">
        <x:f>IFERROR(K388/J388,0)</x:f>
        <x:v>0.75</x:v>
      </x:c>
      <x:c r="R388" s="30" t="n">
        <x:f>IFERROR(L388/K388,0)</x:f>
        <x:v>0.8611111111111112</x:v>
      </x:c>
      <x:c r="S388" s="28" t="n">
        <x:f>IFERROR(N388/J388,0)</x:f>
        <x:v>893.2770833333334</x:v>
      </x:c>
      <x:c r="T388" s="28" t="n">
        <x:f>IFERROR(N388/K388,0)</x:f>
        <x:v>1191.0361111111113</x:v>
      </x:c>
      <x:c r="U388" s="28" t="n">
        <x:f>IFERROR(N388/L388,0)</x:f>
        <x:v>1383.1387096774195</x:v>
      </x:c>
    </x:row>
    <x:row r="389">
      <x:c r="A389" t="n">
        <x:v>388</x:v>
      </x:c>
      <x:c r="B389" s="26" t="n">
        <x:v>46119</x:v>
      </x:c>
      <x:c r="C389" t="str">
        <x:v>CPO_Acesso_Rapido</x:v>
      </x:c>
      <x:c r="D389" t="str">
        <x:v>Meta Ads</x:v>
      </x:c>
      <x:c r="E389" t="str">
        <x:v>Assalariado</x:v>
      </x:c>
      <x:c r="F389" t="str">
        <x:v>Luanda</x:v>
      </x:c>
      <x:c r="G389" t="str">
        <x:v>Desktop</x:v>
      </x:c>
      <x:c r="H389" t="n">
        <x:v>19795</x:v>
      </x:c>
      <x:c r="I389" t="n">
        <x:v>520</x:v>
      </x:c>
      <x:c r="J389" t="n">
        <x:v>56</x:v>
      </x:c>
      <x:c r="K389" t="n">
        <x:v>36</x:v>
      </x:c>
      <x:c r="L389" t="n">
        <x:v>26</x:v>
      </x:c>
      <x:c r="M389" s="28" t="n">
        <x:v>54615826.69</x:v>
      </x:c>
      <x:c r="N389" s="28" t="n">
        <x:v>68477.92</x:v>
      </x:c>
      <x:c r="O389" s="30" t="n">
        <x:f>IFERROR(I389/H389,0)</x:f>
        <x:v>0.026269259914119727</x:v>
      </x:c>
      <x:c r="P389" s="30" t="n">
        <x:f>IFERROR(J389/I389,0)</x:f>
        <x:v>0.1076923076923077</x:v>
      </x:c>
      <x:c r="Q389" s="30" t="n">
        <x:f>IFERROR(K389/J389,0)</x:f>
        <x:v>0.6428571428571429</x:v>
      </x:c>
      <x:c r="R389" s="30" t="n">
        <x:f>IFERROR(L389/K389,0)</x:f>
        <x:v>0.7222222222222222</x:v>
      </x:c>
      <x:c r="S389" s="28" t="n">
        <x:f>IFERROR(N389/J389,0)</x:f>
        <x:v>1222.82</x:v>
      </x:c>
      <x:c r="T389" s="28" t="n">
        <x:f>IFERROR(N389/K389,0)</x:f>
        <x:v>1902.1644444444444</x:v>
      </x:c>
      <x:c r="U389" s="28" t="n">
        <x:f>IFERROR(N389/L389,0)</x:f>
        <x:v>2633.766153846154</x:v>
      </x:c>
    </x:row>
    <x:row r="390">
      <x:c r="A390" t="n">
        <x:v>389</x:v>
      </x:c>
      <x:c r="B390" s="26" t="n">
        <x:v>46120</x:v>
      </x:c>
      <x:c r="C390" t="str">
        <x:v>CPO_Premium</x:v>
      </x:c>
      <x:c r="D390" t="str">
        <x:v>E-mail</x:v>
      </x:c>
      <x:c r="E390" t="str">
        <x:v>Funcionário Público</x:v>
      </x:c>
      <x:c r="F390" t="str">
        <x:v>Cabinda</x:v>
      </x:c>
      <x:c r="G390" t="str">
        <x:v>Android</x:v>
      </x:c>
      <x:c r="H390" t="n">
        <x:v>11660</x:v>
      </x:c>
      <x:c r="I390" t="n">
        <x:v>590</x:v>
      </x:c>
      <x:c r="J390" t="n">
        <x:v>72</x:v>
      </x:c>
      <x:c r="K390" t="n">
        <x:v>45</x:v>
      </x:c>
      <x:c r="L390" t="n">
        <x:v>28</x:v>
      </x:c>
      <x:c r="M390" s="28" t="n">
        <x:v>48028511.97</x:v>
      </x:c>
      <x:c r="N390" s="28" t="n">
        <x:v>132897.55</x:v>
      </x:c>
      <x:c r="O390" s="30" t="n">
        <x:f>IFERROR(I390/H390,0)</x:f>
        <x:v>0.05060034305317324</x:v>
      </x:c>
      <x:c r="P390" s="30" t="n">
        <x:f>IFERROR(J390/I390,0)</x:f>
        <x:v>0.12203389830508475</x:v>
      </x:c>
      <x:c r="Q390" s="30" t="n">
        <x:f>IFERROR(K390/J390,0)</x:f>
        <x:v>0.625</x:v>
      </x:c>
      <x:c r="R390" s="30" t="n">
        <x:f>IFERROR(L390/K390,0)</x:f>
        <x:v>0.6222222222222222</x:v>
      </x:c>
      <x:c r="S390" s="28" t="n">
        <x:f>IFERROR(N390/J390,0)</x:f>
        <x:v>1845.7993055555553</x:v>
      </x:c>
      <x:c r="T390" s="28" t="n">
        <x:f>IFERROR(N390/K390,0)</x:f>
        <x:v>2953.2788888888886</x:v>
      </x:c>
      <x:c r="U390" s="28" t="n">
        <x:f>IFERROR(N390/L390,0)</x:f>
        <x:v>4746.341071428571</x:v>
      </x:c>
    </x:row>
    <x:row r="391">
      <x:c r="A391" t="n">
        <x:v>390</x:v>
      </x:c>
      <x:c r="B391" s="26" t="n">
        <x:v>46120</x:v>
      </x:c>
      <x:c r="C391" t="str">
        <x:v>CPO_Fim_do_Mes</x:v>
      </x:c>
      <x:c r="D391" t="str">
        <x:v>Meta Ads</x:v>
      </x:c>
      <x:c r="E391" t="str">
        <x:v>Funcionário Público</x:v>
      </x:c>
      <x:c r="F391" t="str">
        <x:v>Huíla</x:v>
      </x:c>
      <x:c r="G391" t="str">
        <x:v>Android</x:v>
      </x:c>
      <x:c r="H391" t="n">
        <x:v>17998</x:v>
      </x:c>
      <x:c r="I391" t="n">
        <x:v>402</x:v>
      </x:c>
      <x:c r="J391" t="n">
        <x:v>54</x:v>
      </x:c>
      <x:c r="K391" t="n">
        <x:v>34</x:v>
      </x:c>
      <x:c r="L391" t="n">
        <x:v>25</x:v>
      </x:c>
      <x:c r="M391" s="28" t="n">
        <x:v>43765171.12</x:v>
      </x:c>
      <x:c r="N391" s="28" t="n">
        <x:v>43396.5</x:v>
      </x:c>
      <x:c r="O391" s="30" t="n">
        <x:f>IFERROR(I391/H391,0)</x:f>
        <x:v>0.02233581509056562</x:v>
      </x:c>
      <x:c r="P391" s="30" t="n">
        <x:f>IFERROR(J391/I391,0)</x:f>
        <x:v>0.13432835820895522</x:v>
      </x:c>
      <x:c r="Q391" s="30" t="n">
        <x:f>IFERROR(K391/J391,0)</x:f>
        <x:v>0.6296296296296297</x:v>
      </x:c>
      <x:c r="R391" s="30" t="n">
        <x:f>IFERROR(L391/K391,0)</x:f>
        <x:v>0.7352941176470589</x:v>
      </x:c>
      <x:c r="S391" s="28" t="n">
        <x:f>IFERROR(N391/J391,0)</x:f>
        <x:v>803.6388888888889</x:v>
      </x:c>
      <x:c r="T391" s="28" t="n">
        <x:f>IFERROR(N391/K391,0)</x:f>
        <x:v>1276.3676470588234</x:v>
      </x:c>
      <x:c r="U391" s="28" t="n">
        <x:f>IFERROR(N391/L391,0)</x:f>
        <x:v>1735.86</x:v>
      </x:c>
    </x:row>
    <x:row r="392">
      <x:c r="A392" t="n">
        <x:v>391</x:v>
      </x:c>
      <x:c r="B392" s="26" t="n">
        <x:v>46120</x:v>
      </x:c>
      <x:c r="C392" t="str">
        <x:v>CPO_Premium</x:v>
      </x:c>
      <x:c r="D392" t="str">
        <x:v>Meta Ads</x:v>
      </x:c>
      <x:c r="E392" t="str">
        <x:v>Pequeno Negócio</x:v>
      </x:c>
      <x:c r="F392" t="str">
        <x:v>Cabinda</x:v>
      </x:c>
      <x:c r="G392" t="str">
        <x:v>iOS</x:v>
      </x:c>
      <x:c r="H392" t="n">
        <x:v>21849</x:v>
      </x:c>
      <x:c r="I392" t="n">
        <x:v>347</x:v>
      </x:c>
      <x:c r="J392" t="n">
        <x:v>39</x:v>
      </x:c>
      <x:c r="K392" t="n">
        <x:v>14</x:v>
      </x:c>
      <x:c r="L392" t="n">
        <x:v>8</x:v>
      </x:c>
      <x:c r="M392" s="28" t="n">
        <x:v>22806363.35</x:v>
      </x:c>
      <x:c r="N392" s="28" t="n">
        <x:v>56306.86</x:v>
      </x:c>
      <x:c r="O392" s="30" t="n">
        <x:f>IFERROR(I392/H392,0)</x:f>
        <x:v>0.015881733717790288</x:v>
      </x:c>
      <x:c r="P392" s="30" t="n">
        <x:f>IFERROR(J392/I392,0)</x:f>
        <x:v>0.11239193083573487</x:v>
      </x:c>
      <x:c r="Q392" s="30" t="n">
        <x:f>IFERROR(K392/J392,0)</x:f>
        <x:v>0.358974358974359</x:v>
      </x:c>
      <x:c r="R392" s="30" t="n">
        <x:f>IFERROR(L392/K392,0)</x:f>
        <x:v>0.5714285714285714</x:v>
      </x:c>
      <x:c r="S392" s="28" t="n">
        <x:f>IFERROR(N392/J392,0)</x:f>
        <x:v>1443.7656410256411</x:v>
      </x:c>
      <x:c r="T392" s="28" t="n">
        <x:f>IFERROR(N392/K392,0)</x:f>
        <x:v>4021.9185714285713</x:v>
      </x:c>
      <x:c r="U392" s="28" t="n">
        <x:f>IFERROR(N392/L392,0)</x:f>
        <x:v>7038.3575</x:v>
      </x:c>
    </x:row>
    <x:row r="393">
      <x:c r="A393" t="n">
        <x:v>392</x:v>
      </x:c>
      <x:c r="B393" s="26" t="n">
        <x:v>46120</x:v>
      </x:c>
      <x:c r="C393" t="str">
        <x:v>CPO_Digital_360</x:v>
      </x:c>
      <x:c r="D393" t="str">
        <x:v>Meta Ads</x:v>
      </x:c>
      <x:c r="E393" t="str">
        <x:v>Jovem Profissional</x:v>
      </x:c>
      <x:c r="F393" t="str">
        <x:v>Cabinda</x:v>
      </x:c>
      <x:c r="G393" t="str">
        <x:v>iOS</x:v>
      </x:c>
      <x:c r="H393" t="n">
        <x:v>21227</x:v>
      </x:c>
      <x:c r="I393" t="n">
        <x:v>515</x:v>
      </x:c>
      <x:c r="J393" t="n">
        <x:v>45</x:v>
      </x:c>
      <x:c r="K393" t="n">
        <x:v>30</x:v>
      </x:c>
      <x:c r="L393" t="n">
        <x:v>21</x:v>
      </x:c>
      <x:c r="M393" s="28" t="n">
        <x:v>29502539.08</x:v>
      </x:c>
      <x:c r="N393" s="28" t="n">
        <x:v>96330.4</x:v>
      </x:c>
      <x:c r="O393" s="30" t="n">
        <x:f>IFERROR(I393/H393,0)</x:f>
        <x:v>0.024261553681631885</x:v>
      </x:c>
      <x:c r="P393" s="30" t="n">
        <x:f>IFERROR(J393/I393,0)</x:f>
        <x:v>0.08737864077669903</x:v>
      </x:c>
      <x:c r="Q393" s="30" t="n">
        <x:f>IFERROR(K393/J393,0)</x:f>
        <x:v>0.6666666666666666</x:v>
      </x:c>
      <x:c r="R393" s="30" t="n">
        <x:f>IFERROR(L393/K393,0)</x:f>
        <x:v>0.7</x:v>
      </x:c>
      <x:c r="S393" s="28" t="n">
        <x:f>IFERROR(N393/J393,0)</x:f>
        <x:v>2140.6755555555555</x:v>
      </x:c>
      <x:c r="T393" s="28" t="n">
        <x:f>IFERROR(N393/K393,0)</x:f>
        <x:v>3211.0133333333333</x:v>
      </x:c>
      <x:c r="U393" s="28" t="n">
        <x:f>IFERROR(N393/L393,0)</x:f>
        <x:v>4587.161904761904</x:v>
      </x:c>
    </x:row>
    <x:row r="394">
      <x:c r="A394" t="n">
        <x:v>393</x:v>
      </x:c>
      <x:c r="B394" s="26" t="n">
        <x:v>46120</x:v>
      </x:c>
      <x:c r="C394" t="str">
        <x:v>CPO_Salario</x:v>
      </x:c>
      <x:c r="D394" t="str">
        <x:v>SMS</x:v>
      </x:c>
      <x:c r="E394" t="str">
        <x:v>Pequeno Negócio</x:v>
      </x:c>
      <x:c r="F394" t="str">
        <x:v>Luanda</x:v>
      </x:c>
      <x:c r="G394" t="str">
        <x:v>Android</x:v>
      </x:c>
      <x:c r="H394" t="n">
        <x:v>10925</x:v>
      </x:c>
      <x:c r="I394" t="n">
        <x:v>654</x:v>
      </x:c>
      <x:c r="J394" t="n">
        <x:v>120</x:v>
      </x:c>
      <x:c r="K394" t="n">
        <x:v>54</x:v>
      </x:c>
      <x:c r="L394" t="n">
        <x:v>25</x:v>
      </x:c>
      <x:c r="M394" s="28" t="n">
        <x:v>74139354.52</x:v>
      </x:c>
      <x:c r="N394" s="28" t="n">
        <x:v>177875.75</x:v>
      </x:c>
      <x:c r="O394" s="30" t="n">
        <x:f>IFERROR(I394/H394,0)</x:f>
        <x:v>0.05986270022883295</x:v>
      </x:c>
      <x:c r="P394" s="30" t="n">
        <x:f>IFERROR(J394/I394,0)</x:f>
        <x:v>0.1834862385321101</x:v>
      </x:c>
      <x:c r="Q394" s="30" t="n">
        <x:f>IFERROR(K394/J394,0)</x:f>
        <x:v>0.45</x:v>
      </x:c>
      <x:c r="R394" s="30" t="n">
        <x:f>IFERROR(L394/K394,0)</x:f>
        <x:v>0.46296296296296297</x:v>
      </x:c>
      <x:c r="S394" s="28" t="n">
        <x:f>IFERROR(N394/J394,0)</x:f>
        <x:v>1482.2979166666667</x:v>
      </x:c>
      <x:c r="T394" s="28" t="n">
        <x:f>IFERROR(N394/K394,0)</x:f>
        <x:v>3293.9953703703704</x:v>
      </x:c>
      <x:c r="U394" s="28" t="n">
        <x:f>IFERROR(N394/L394,0)</x:f>
        <x:v>7115.03</x:v>
      </x:c>
    </x:row>
    <x:row r="395">
      <x:c r="A395" t="n">
        <x:v>394</x:v>
      </x:c>
      <x:c r="B395" s="26" t="n">
        <x:v>46121</x:v>
      </x:c>
      <x:c r="C395" t="str">
        <x:v>CPO_Digital_360</x:v>
      </x:c>
      <x:c r="D395" t="str">
        <x:v>SMS</x:v>
      </x:c>
      <x:c r="E395" t="str">
        <x:v>Funcionário Público</x:v>
      </x:c>
      <x:c r="F395" t="str">
        <x:v>Huambo</x:v>
      </x:c>
      <x:c r="G395" t="str">
        <x:v>Android</x:v>
      </x:c>
      <x:c r="H395" t="n">
        <x:v>1218</x:v>
      </x:c>
      <x:c r="I395" t="n">
        <x:v>123</x:v>
      </x:c>
      <x:c r="J395" t="n">
        <x:v>15</x:v>
      </x:c>
      <x:c r="K395" t="n">
        <x:v>10</x:v>
      </x:c>
      <x:c r="L395" t="n">
        <x:v>8</x:v>
      </x:c>
      <x:c r="M395" s="28" t="n">
        <x:v>13015428.43</x:v>
      </x:c>
      <x:c r="N395" s="28" t="n">
        <x:v>4069.37</x:v>
      </x:c>
      <x:c r="O395" s="30" t="n">
        <x:f>IFERROR(I395/H395,0)</x:f>
        <x:v>0.10098522167487685</x:v>
      </x:c>
      <x:c r="P395" s="30" t="n">
        <x:f>IFERROR(J395/I395,0)</x:f>
        <x:v>0.12195121951219512</x:v>
      </x:c>
      <x:c r="Q395" s="30" t="n">
        <x:f>IFERROR(K395/J395,0)</x:f>
        <x:v>0.6666666666666666</x:v>
      </x:c>
      <x:c r="R395" s="30" t="n">
        <x:f>IFERROR(L395/K395,0)</x:f>
        <x:v>0.8</x:v>
      </x:c>
      <x:c r="S395" s="28" t="n">
        <x:f>IFERROR(N395/J395,0)</x:f>
        <x:v>271.29133333333334</x:v>
      </x:c>
      <x:c r="T395" s="28" t="n">
        <x:f>IFERROR(N395/K395,0)</x:f>
        <x:v>406.937</x:v>
      </x:c>
      <x:c r="U395" s="28" t="n">
        <x:f>IFERROR(N395/L395,0)</x:f>
        <x:v>508.67125</x:v>
      </x:c>
    </x:row>
    <x:row r="396">
      <x:c r="A396" t="n">
        <x:v>395</x:v>
      </x:c>
      <x:c r="B396" s="26" t="n">
        <x:v>46121</x:v>
      </x:c>
      <x:c r="C396" t="str">
        <x:v>CPO_Salario</x:v>
      </x:c>
      <x:c r="D396" t="str">
        <x:v>E-mail</x:v>
      </x:c>
      <x:c r="E396" t="str">
        <x:v>Pequeno Negócio</x:v>
      </x:c>
      <x:c r="F396" t="str">
        <x:v>Luanda</x:v>
      </x:c>
      <x:c r="G396" t="str">
        <x:v>Desktop</x:v>
      </x:c>
      <x:c r="H396" t="n">
        <x:v>4220</x:v>
      </x:c>
      <x:c r="I396" t="n">
        <x:v>268</x:v>
      </x:c>
      <x:c r="J396" t="n">
        <x:v>25</x:v>
      </x:c>
      <x:c r="K396" t="n">
        <x:v>11</x:v>
      </x:c>
      <x:c r="L396" t="n">
        <x:v>7</x:v>
      </x:c>
      <x:c r="M396" s="28" t="n">
        <x:v>25399514.39</x:v>
      </x:c>
      <x:c r="N396" s="28" t="n">
        <x:v>71349.66</x:v>
      </x:c>
      <x:c r="O396" s="30" t="n">
        <x:f>IFERROR(I396/H396,0)</x:f>
        <x:v>0.06350710900473934</x:v>
      </x:c>
      <x:c r="P396" s="30" t="n">
        <x:f>IFERROR(J396/I396,0)</x:f>
        <x:v>0.09328358208955224</x:v>
      </x:c>
      <x:c r="Q396" s="30" t="n">
        <x:f>IFERROR(K396/J396,0)</x:f>
        <x:v>0.44</x:v>
      </x:c>
      <x:c r="R396" s="30" t="n">
        <x:f>IFERROR(L396/K396,0)</x:f>
        <x:v>0.6363636363636364</x:v>
      </x:c>
      <x:c r="S396" s="28" t="n">
        <x:f>IFERROR(N396/J396,0)</x:f>
        <x:v>2853.9864000000002</x:v>
      </x:c>
      <x:c r="T396" s="28" t="n">
        <x:f>IFERROR(N396/K396,0)</x:f>
        <x:v>6486.332727272727</x:v>
      </x:c>
      <x:c r="U396" s="28" t="n">
        <x:f>IFERROR(N396/L396,0)</x:f>
        <x:v>10192.808571428572</x:v>
      </x:c>
    </x:row>
    <x:row r="397">
      <x:c r="A397" t="n">
        <x:v>396</x:v>
      </x:c>
      <x:c r="B397" s="26" t="n">
        <x:v>46121</x:v>
      </x:c>
      <x:c r="C397" t="str">
        <x:v>CPO_Salario</x:v>
      </x:c>
      <x:c r="D397" t="str">
        <x:v>SMS</x:v>
      </x:c>
      <x:c r="E397" t="str">
        <x:v>Assalariado</x:v>
      </x:c>
      <x:c r="F397" t="str">
        <x:v>Luanda</x:v>
      </x:c>
      <x:c r="G397" t="str">
        <x:v>Desktop</x:v>
      </x:c>
      <x:c r="H397" t="n">
        <x:v>2565</x:v>
      </x:c>
      <x:c r="I397" t="n">
        <x:v>243</x:v>
      </x:c>
      <x:c r="J397" t="n">
        <x:v>33</x:v>
      </x:c>
      <x:c r="K397" t="n">
        <x:v>21</x:v>
      </x:c>
      <x:c r="L397" t="n">
        <x:v>15</x:v>
      </x:c>
      <x:c r="M397" s="28" t="n">
        <x:v>34489030.49</x:v>
      </x:c>
      <x:c r="N397" s="28" t="n">
        <x:v>29964.58</x:v>
      </x:c>
      <x:c r="O397" s="30" t="n">
        <x:f>IFERROR(I397/H397,0)</x:f>
        <x:v>0.09473684210526316</x:v>
      </x:c>
      <x:c r="P397" s="30" t="n">
        <x:f>IFERROR(J397/I397,0)</x:f>
        <x:v>0.13580246913580246</x:v>
      </x:c>
      <x:c r="Q397" s="30" t="n">
        <x:f>IFERROR(K397/J397,0)</x:f>
        <x:v>0.6363636363636364</x:v>
      </x:c>
      <x:c r="R397" s="30" t="n">
        <x:f>IFERROR(L397/K397,0)</x:f>
        <x:v>0.7142857142857143</x:v>
      </x:c>
      <x:c r="S397" s="28" t="n">
        <x:f>IFERROR(N397/J397,0)</x:f>
        <x:v>908.0175757575759</x:v>
      </x:c>
      <x:c r="T397" s="28" t="n">
        <x:f>IFERROR(N397/K397,0)</x:f>
        <x:v>1426.884761904762</x:v>
      </x:c>
      <x:c r="U397" s="28" t="n">
        <x:f>IFERROR(N397/L397,0)</x:f>
        <x:v>1997.6386666666667</x:v>
      </x:c>
    </x:row>
    <x:row r="398">
      <x:c r="A398" t="n">
        <x:v>397</x:v>
      </x:c>
      <x:c r="B398" s="26" t="n">
        <x:v>46121</x:v>
      </x:c>
      <x:c r="C398" t="str">
        <x:v>CPO_Acesso_Rapido</x:v>
      </x:c>
      <x:c r="D398" t="str">
        <x:v>Meta Ads</x:v>
      </x:c>
      <x:c r="E398" t="str">
        <x:v>Jovem Profissional</x:v>
      </x:c>
      <x:c r="F398" t="str">
        <x:v>Cuanza Sul</x:v>
      </x:c>
      <x:c r="G398" t="str">
        <x:v>Android</x:v>
      </x:c>
      <x:c r="H398" t="n">
        <x:v>5597</x:v>
      </x:c>
      <x:c r="I398" t="n">
        <x:v>92</x:v>
      </x:c>
      <x:c r="J398" t="n">
        <x:v>9</x:v>
      </x:c>
      <x:c r="K398" t="n">
        <x:v>5</x:v>
      </x:c>
      <x:c r="L398" t="n">
        <x:v>3</x:v>
      </x:c>
      <x:c r="M398" s="28" t="n">
        <x:v>3008235.43</x:v>
      </x:c>
      <x:c r="N398" s="28" t="n">
        <x:v>9454.12</x:v>
      </x:c>
      <x:c r="O398" s="30" t="n">
        <x:f>IFERROR(I398/H398,0)</x:f>
        <x:v>0.01643737716633911</x:v>
      </x:c>
      <x:c r="P398" s="30" t="n">
        <x:f>IFERROR(J398/I398,0)</x:f>
        <x:v>0.09782608695652174</x:v>
      </x:c>
      <x:c r="Q398" s="30" t="n">
        <x:f>IFERROR(K398/J398,0)</x:f>
        <x:v>0.5555555555555556</x:v>
      </x:c>
      <x:c r="R398" s="30" t="n">
        <x:f>IFERROR(L398/K398,0)</x:f>
        <x:v>0.6</x:v>
      </x:c>
      <x:c r="S398" s="28" t="n">
        <x:f>IFERROR(N398/J398,0)</x:f>
        <x:v>1050.457777777778</x:v>
      </x:c>
      <x:c r="T398" s="28" t="n">
        <x:f>IFERROR(N398/K398,0)</x:f>
        <x:v>1890.824</x:v>
      </x:c>
      <x:c r="U398" s="28" t="n">
        <x:f>IFERROR(N398/L398,0)</x:f>
        <x:v>3151.3733333333334</x:v>
      </x:c>
    </x:row>
    <x:row r="399">
      <x:c r="A399" t="n">
        <x:v>398</x:v>
      </x:c>
      <x:c r="B399" s="26" t="n">
        <x:v>46121</x:v>
      </x:c>
      <x:c r="C399" t="str">
        <x:v>CPO_Always_On</x:v>
      </x:c>
      <x:c r="D399" t="str">
        <x:v>E-mail</x:v>
      </x:c>
      <x:c r="E399" t="str">
        <x:v>Assalariado</x:v>
      </x:c>
      <x:c r="F399" t="str">
        <x:v>Uíge</x:v>
      </x:c>
      <x:c r="G399" t="str">
        <x:v>Desktop</x:v>
      </x:c>
      <x:c r="H399" t="n">
        <x:v>9086</x:v>
      </x:c>
      <x:c r="I399" t="n">
        <x:v>466</x:v>
      </x:c>
      <x:c r="J399" t="n">
        <x:v>42</x:v>
      </x:c>
      <x:c r="K399" t="n">
        <x:v>29</x:v>
      </x:c>
      <x:c r="L399" t="n">
        <x:v>20</x:v>
      </x:c>
      <x:c r="M399" s="28" t="n">
        <x:v>40009973.72</x:v>
      </x:c>
      <x:c r="N399" s="28" t="n">
        <x:v>60380.48</x:v>
      </x:c>
      <x:c r="O399" s="30" t="n">
        <x:f>IFERROR(I399/H399,0)</x:f>
        <x:v>0.05128769535549196</x:v>
      </x:c>
      <x:c r="P399" s="30" t="n">
        <x:f>IFERROR(J399/I399,0)</x:f>
        <x:v>0.09012875536480687</x:v>
      </x:c>
      <x:c r="Q399" s="30" t="n">
        <x:f>IFERROR(K399/J399,0)</x:f>
        <x:v>0.6904761904761905</x:v>
      </x:c>
      <x:c r="R399" s="30" t="n">
        <x:f>IFERROR(L399/K399,0)</x:f>
        <x:v>0.6896551724137931</x:v>
      </x:c>
      <x:c r="S399" s="28" t="n">
        <x:f>IFERROR(N399/J399,0)</x:f>
        <x:v>1437.6304761904762</x:v>
      </x:c>
      <x:c r="T399" s="28" t="n">
        <x:f>IFERROR(N399/K399,0)</x:f>
        <x:v>2082.0855172413794</x:v>
      </x:c>
      <x:c r="U399" s="28" t="n">
        <x:f>IFERROR(N399/L399,0)</x:f>
        <x:v>3019.0240000000003</x:v>
      </x:c>
    </x:row>
    <x:row r="400">
      <x:c r="A400" t="n">
        <x:v>399</x:v>
      </x:c>
      <x:c r="B400" s="26" t="n">
        <x:v>46122</x:v>
      </x:c>
      <x:c r="C400" t="str">
        <x:v>CPO_Premium</x:v>
      </x:c>
      <x:c r="D400" t="str">
        <x:v>E-mail</x:v>
      </x:c>
      <x:c r="E400" t="str">
        <x:v>Jovem Profissional</x:v>
      </x:c>
      <x:c r="F400" t="str">
        <x:v>Benguela</x:v>
      </x:c>
      <x:c r="G400" t="str">
        <x:v>Desktop</x:v>
      </x:c>
      <x:c r="H400" t="n">
        <x:v>1377</x:v>
      </x:c>
      <x:c r="I400" t="n">
        <x:v>64</x:v>
      </x:c>
      <x:c r="J400" t="n">
        <x:v>8</x:v>
      </x:c>
      <x:c r="K400" t="n">
        <x:v>3</x:v>
      </x:c>
      <x:c r="L400" t="n">
        <x:v>2</x:v>
      </x:c>
      <x:c r="M400" s="28" t="n">
        <x:v>1981802.81</x:v>
      </x:c>
      <x:c r="N400" s="28" t="n">
        <x:v>15379.68</x:v>
      </x:c>
      <x:c r="O400" s="30" t="n">
        <x:f>IFERROR(I400/H400,0)</x:f>
        <x:v>0.04647785039941903</x:v>
      </x:c>
      <x:c r="P400" s="30" t="n">
        <x:f>IFERROR(J400/I400,0)</x:f>
        <x:v>0.125</x:v>
      </x:c>
      <x:c r="Q400" s="30" t="n">
        <x:f>IFERROR(K400/J400,0)</x:f>
        <x:v>0.375</x:v>
      </x:c>
      <x:c r="R400" s="30" t="n">
        <x:f>IFERROR(L400/K400,0)</x:f>
        <x:v>0.6666666666666666</x:v>
      </x:c>
      <x:c r="S400" s="28" t="n">
        <x:f>IFERROR(N400/J400,0)</x:f>
        <x:v>1922.46</x:v>
      </x:c>
      <x:c r="T400" s="28" t="n">
        <x:f>IFERROR(N400/K400,0)</x:f>
        <x:v>5126.56</x:v>
      </x:c>
      <x:c r="U400" s="28" t="n">
        <x:f>IFERROR(N400/L400,0)</x:f>
        <x:v>7689.84</x:v>
      </x:c>
    </x:row>
    <x:row r="401">
      <x:c r="A401" t="n">
        <x:v>400</x:v>
      </x:c>
      <x:c r="B401" s="26" t="n">
        <x:v>46122</x:v>
      </x:c>
      <x:c r="C401" t="str">
        <x:v>CPO_Acesso_Rapido</x:v>
      </x:c>
      <x:c r="D401" t="str">
        <x:v>BAI Directo/App</x:v>
      </x:c>
      <x:c r="E401" t="str">
        <x:v>Funcionário Público</x:v>
      </x:c>
      <x:c r="F401" t="str">
        <x:v>Luanda</x:v>
      </x:c>
      <x:c r="G401" t="str">
        <x:v>Desktop</x:v>
      </x:c>
      <x:c r="H401" t="n">
        <x:v>8331</x:v>
      </x:c>
      <x:c r="I401" t="n">
        <x:v>845</x:v>
      </x:c>
      <x:c r="J401" t="n">
        <x:v>179</x:v>
      </x:c>
      <x:c r="K401" t="n">
        <x:v>135</x:v>
      </x:c>
      <x:c r="L401" t="n">
        <x:v>84</x:v>
      </x:c>
      <x:c r="M401" s="28" t="n">
        <x:v>159362361.98</x:v>
      </x:c>
      <x:c r="N401" s="28" t="n">
        <x:v>114893.91</x:v>
      </x:c>
      <x:c r="O401" s="30" t="n">
        <x:f>IFERROR(I401/H401,0)</x:f>
        <x:v>0.10142839995198656</x:v>
      </x:c>
      <x:c r="P401" s="30" t="n">
        <x:f>IFERROR(J401/I401,0)</x:f>
        <x:v>0.2118343195266272</x:v>
      </x:c>
      <x:c r="Q401" s="30" t="n">
        <x:f>IFERROR(K401/J401,0)</x:f>
        <x:v>0.7541899441340782</x:v>
      </x:c>
      <x:c r="R401" s="30" t="n">
        <x:f>IFERROR(L401/K401,0)</x:f>
        <x:v>0.6222222222222222</x:v>
      </x:c>
      <x:c r="S401" s="28" t="n">
        <x:f>IFERROR(N401/J401,0)</x:f>
        <x:v>641.8654189944134</x:v>
      </x:c>
      <x:c r="T401" s="28" t="n">
        <x:f>IFERROR(N401/K401,0)</x:f>
        <x:v>851.066</x:v>
      </x:c>
      <x:c r="U401" s="28" t="n">
        <x:f>IFERROR(N401/L401,0)</x:f>
        <x:v>1367.784642857143</x:v>
      </x:c>
    </x:row>
    <x:row r="402">
      <x:c r="A402" t="n">
        <x:v>401</x:v>
      </x:c>
      <x:c r="B402" s="26" t="n">
        <x:v>46122</x:v>
      </x:c>
      <x:c r="C402" t="str">
        <x:v>CPO_Premium</x:v>
      </x:c>
      <x:c r="D402" t="str">
        <x:v>BAI Directo/App</x:v>
      </x:c>
      <x:c r="E402" t="str">
        <x:v>Funcionário Público</x:v>
      </x:c>
      <x:c r="F402" t="str">
        <x:v>Benguela</x:v>
      </x:c>
      <x:c r="G402" t="str">
        <x:v>Android</x:v>
      </x:c>
      <x:c r="H402" t="n">
        <x:v>9779</x:v>
      </x:c>
      <x:c r="I402" t="n">
        <x:v>1270</x:v>
      </x:c>
      <x:c r="J402" t="n">
        <x:v>321</x:v>
      </x:c>
      <x:c r="K402" t="n">
        <x:v>248</x:v>
      </x:c>
      <x:c r="L402" t="n">
        <x:v>160</x:v>
      </x:c>
      <x:c r="M402" s="28" t="n">
        <x:v>291809201.52</x:v>
      </x:c>
      <x:c r="N402" s="28" t="n">
        <x:v>103624.07</x:v>
      </x:c>
      <x:c r="O402" s="30" t="n">
        <x:f>IFERROR(I402/H402,0)</x:f>
        <x:v>0.12987012987012986</x:v>
      </x:c>
      <x:c r="P402" s="30" t="n">
        <x:f>IFERROR(J402/I402,0)</x:f>
        <x:v>0.25275590551181104</x:v>
      </x:c>
      <x:c r="Q402" s="30" t="n">
        <x:f>IFERROR(K402/J402,0)</x:f>
        <x:v>0.7725856697819314</x:v>
      </x:c>
      <x:c r="R402" s="30" t="n">
        <x:f>IFERROR(L402/K402,0)</x:f>
        <x:v>0.6451612903225806</x:v>
      </x:c>
      <x:c r="S402" s="28" t="n">
        <x:f>IFERROR(N402/J402,0)</x:f>
        <x:v>322.8164174454829</x:v>
      </x:c>
      <x:c r="T402" s="28" t="n">
        <x:f>IFERROR(N402/K402,0)</x:f>
        <x:v>417.8389919354839</x:v>
      </x:c>
      <x:c r="U402" s="28" t="n">
        <x:f>IFERROR(N402/L402,0)</x:f>
        <x:v>647.6504375000001</x:v>
      </x:c>
    </x:row>
    <x:row r="403">
      <x:c r="A403" t="n">
        <x:v>402</x:v>
      </x:c>
      <x:c r="B403" s="26" t="n">
        <x:v>46123</x:v>
      </x:c>
      <x:c r="C403" t="str">
        <x:v>CPO_Salario</x:v>
      </x:c>
      <x:c r="D403" t="str">
        <x:v>E-mail</x:v>
      </x:c>
      <x:c r="E403" t="str">
        <x:v>Funcionário Público</x:v>
      </x:c>
      <x:c r="F403" t="str">
        <x:v>Luanda</x:v>
      </x:c>
      <x:c r="G403" t="str">
        <x:v>Desktop</x:v>
      </x:c>
      <x:c r="H403" t="n">
        <x:v>8972</x:v>
      </x:c>
      <x:c r="I403" t="n">
        <x:v>458</x:v>
      </x:c>
      <x:c r="J403" t="n">
        <x:v>36</x:v>
      </x:c>
      <x:c r="K403" t="n">
        <x:v>30</x:v>
      </x:c>
      <x:c r="L403" t="n">
        <x:v>20</x:v>
      </x:c>
      <x:c r="M403" s="28" t="n">
        <x:v>36173398.5</x:v>
      </x:c>
      <x:c r="N403" s="28" t="n">
        <x:v>47902.83</x:v>
      </x:c>
      <x:c r="O403" s="30" t="n">
        <x:f>IFERROR(I403/H403,0)</x:f>
        <x:v>0.051047703967900135</x:v>
      </x:c>
      <x:c r="P403" s="30" t="n">
        <x:f>IFERROR(J403/I403,0)</x:f>
        <x:v>0.07860262008733625</x:v>
      </x:c>
      <x:c r="Q403" s="30" t="n">
        <x:f>IFERROR(K403/J403,0)</x:f>
        <x:v>0.8333333333333334</x:v>
      </x:c>
      <x:c r="R403" s="30" t="n">
        <x:f>IFERROR(L403/K403,0)</x:f>
        <x:v>0.6666666666666666</x:v>
      </x:c>
      <x:c r="S403" s="28" t="n">
        <x:f>IFERROR(N403/J403,0)</x:f>
        <x:v>1330.6341666666667</x:v>
      </x:c>
      <x:c r="T403" s="28" t="n">
        <x:f>IFERROR(N403/K403,0)</x:f>
        <x:v>1596.761</x:v>
      </x:c>
      <x:c r="U403" s="28" t="n">
        <x:f>IFERROR(N403/L403,0)</x:f>
        <x:v>2395.1415</x:v>
      </x:c>
    </x:row>
    <x:row r="404">
      <x:c r="A404" t="n">
        <x:v>403</x:v>
      </x:c>
      <x:c r="B404" s="26" t="n">
        <x:v>46123</x:v>
      </x:c>
      <x:c r="C404" t="str">
        <x:v>CPO_Salario</x:v>
      </x:c>
      <x:c r="D404" t="str">
        <x:v>TikTok Ads</x:v>
      </x:c>
      <x:c r="E404" t="str">
        <x:v>Premium</x:v>
      </x:c>
      <x:c r="F404" t="str">
        <x:v>Huíla</x:v>
      </x:c>
      <x:c r="G404" t="str">
        <x:v>Android</x:v>
      </x:c>
      <x:c r="H404" t="n">
        <x:v>4883</x:v>
      </x:c>
      <x:c r="I404" t="n">
        <x:v>81</x:v>
      </x:c>
      <x:c r="J404" t="n">
        <x:v>6</x:v>
      </x:c>
      <x:c r="K404" t="n">
        <x:v>5</x:v>
      </x:c>
      <x:c r="L404" t="n">
        <x:v>3</x:v>
      </x:c>
      <x:c r="M404" s="28" t="n">
        <x:v>14776279.52</x:v>
      </x:c>
      <x:c r="N404" s="28" t="n">
        <x:v>3710.42</x:v>
      </x:c>
      <x:c r="O404" s="30" t="n">
        <x:f>IFERROR(I404/H404,0)</x:f>
        <x:v>0.01658816301454024</x:v>
      </x:c>
      <x:c r="P404" s="30" t="n">
        <x:f>IFERROR(J404/I404,0)</x:f>
        <x:v>0.07407407407407407</x:v>
      </x:c>
      <x:c r="Q404" s="30" t="n">
        <x:f>IFERROR(K404/J404,0)</x:f>
        <x:v>0.8333333333333334</x:v>
      </x:c>
      <x:c r="R404" s="30" t="n">
        <x:f>IFERROR(L404/K404,0)</x:f>
        <x:v>0.6</x:v>
      </x:c>
      <x:c r="S404" s="28" t="n">
        <x:f>IFERROR(N404/J404,0)</x:f>
        <x:v>618.4033333333333</x:v>
      </x:c>
      <x:c r="T404" s="28" t="n">
        <x:f>IFERROR(N404/K404,0)</x:f>
        <x:v>742.0840000000001</x:v>
      </x:c>
      <x:c r="U404" s="28" t="n">
        <x:f>IFERROR(N404/L404,0)</x:f>
        <x:v>1236.8066666666666</x:v>
      </x:c>
    </x:row>
    <x:row r="405">
      <x:c r="A405" t="n">
        <x:v>404</x:v>
      </x:c>
      <x:c r="B405" s="26" t="n">
        <x:v>46123</x:v>
      </x:c>
      <x:c r="C405" t="str">
        <x:v>CPO_Always_On</x:v>
      </x:c>
      <x:c r="D405" t="str">
        <x:v>TikTok Ads</x:v>
      </x:c>
      <x:c r="E405" t="str">
        <x:v>Funcionário Público</x:v>
      </x:c>
      <x:c r="F405" t="str">
        <x:v>Luanda</x:v>
      </x:c>
      <x:c r="G405" t="str">
        <x:v>Android</x:v>
      </x:c>
      <x:c r="H405" t="n">
        <x:v>16448</x:v>
      </x:c>
      <x:c r="I405" t="n">
        <x:v>232</x:v>
      </x:c>
      <x:c r="J405" t="n">
        <x:v>17</x:v>
      </x:c>
      <x:c r="K405" t="n">
        <x:v>12</x:v>
      </x:c>
      <x:c r="L405" t="n">
        <x:v>9</x:v>
      </x:c>
      <x:c r="M405" s="28" t="n">
        <x:v>15813783.18</x:v>
      </x:c>
      <x:c r="N405" s="28" t="n">
        <x:v>43759.18</x:v>
      </x:c>
      <x:c r="O405" s="30" t="n">
        <x:f>IFERROR(I405/H405,0)</x:f>
        <x:v>0.014105058365758755</x:v>
      </x:c>
      <x:c r="P405" s="30" t="n">
        <x:f>IFERROR(J405/I405,0)</x:f>
        <x:v>0.07327586206896551</x:v>
      </x:c>
      <x:c r="Q405" s="30" t="n">
        <x:f>IFERROR(K405/J405,0)</x:f>
        <x:v>0.7058823529411765</x:v>
      </x:c>
      <x:c r="R405" s="30" t="n">
        <x:f>IFERROR(L405/K405,0)</x:f>
        <x:v>0.75</x:v>
      </x:c>
      <x:c r="S405" s="28" t="n">
        <x:f>IFERROR(N405/J405,0)</x:f>
        <x:v>2574.069411764706</x:v>
      </x:c>
      <x:c r="T405" s="28" t="n">
        <x:f>IFERROR(N405/K405,0)</x:f>
        <x:v>3646.5983333333334</x:v>
      </x:c>
      <x:c r="U405" s="28" t="n">
        <x:f>IFERROR(N405/L405,0)</x:f>
        <x:v>4862.131111111111</x:v>
      </x:c>
    </x:row>
    <x:row r="406">
      <x:c r="A406" t="n">
        <x:v>405</x:v>
      </x:c>
      <x:c r="B406" s="26" t="n">
        <x:v>46123</x:v>
      </x:c>
      <x:c r="C406" t="str">
        <x:v>CPO_Premium</x:v>
      </x:c>
      <x:c r="D406" t="str">
        <x:v>Google Ads</x:v>
      </x:c>
      <x:c r="E406" t="str">
        <x:v>Funcionário Público</x:v>
      </x:c>
      <x:c r="F406" t="str">
        <x:v>Luanda</x:v>
      </x:c>
      <x:c r="G406" t="str">
        <x:v>iOS</x:v>
      </x:c>
      <x:c r="H406" t="n">
        <x:v>26072</x:v>
      </x:c>
      <x:c r="I406" t="n">
        <x:v>1051</x:v>
      </x:c>
      <x:c r="J406" t="n">
        <x:v>155</x:v>
      </x:c>
      <x:c r="K406" t="n">
        <x:v>109</x:v>
      </x:c>
      <x:c r="L406" t="n">
        <x:v>77</x:v>
      </x:c>
      <x:c r="M406" s="28" t="n">
        <x:v>139647688.76</x:v>
      </x:c>
      <x:c r="N406" s="28" t="n">
        <x:v>192884.34</x:v>
      </x:c>
      <x:c r="O406" s="30" t="n">
        <x:f>IFERROR(I406/H406,0)</x:f>
        <x:v>0.04031144522859773</x:v>
      </x:c>
      <x:c r="P406" s="30" t="n">
        <x:f>IFERROR(J406/I406,0)</x:f>
        <x:v>0.14747859181731685</x:v>
      </x:c>
      <x:c r="Q406" s="30" t="n">
        <x:f>IFERROR(K406/J406,0)</x:f>
        <x:v>0.7032258064516129</x:v>
      </x:c>
      <x:c r="R406" s="30" t="n">
        <x:f>IFERROR(L406/K406,0)</x:f>
        <x:v>0.7064220183486238</x:v>
      </x:c>
      <x:c r="S406" s="28" t="n">
        <x:f>IFERROR(N406/J406,0)</x:f>
        <x:v>1244.4150967741934</x:v>
      </x:c>
      <x:c r="T406" s="28" t="n">
        <x:f>IFERROR(N406/K406,0)</x:f>
        <x:v>1769.581100917431</x:v>
      </x:c>
      <x:c r="U406" s="28" t="n">
        <x:f>IFERROR(N406/L406,0)</x:f>
        <x:v>2504.9914285714285</x:v>
      </x:c>
    </x:row>
    <x:row r="407">
      <x:c r="A407" t="n">
        <x:v>406</x:v>
      </x:c>
      <x:c r="B407" s="26" t="n">
        <x:v>46124</x:v>
      </x:c>
      <x:c r="C407" t="str">
        <x:v>CPO_Always_On</x:v>
      </x:c>
      <x:c r="D407" t="str">
        <x:v>SMS</x:v>
      </x:c>
      <x:c r="E407" t="str">
        <x:v>Premium</x:v>
      </x:c>
      <x:c r="F407" t="str">
        <x:v>Huíla</x:v>
      </x:c>
      <x:c r="G407" t="str">
        <x:v>Android</x:v>
      </x:c>
      <x:c r="H407" t="n">
        <x:v>5867</x:v>
      </x:c>
      <x:c r="I407" t="n">
        <x:v>272</x:v>
      </x:c>
      <x:c r="J407" t="n">
        <x:v>36</x:v>
      </x:c>
      <x:c r="K407" t="n">
        <x:v>29</x:v>
      </x:c>
      <x:c r="L407" t="n">
        <x:v>22</x:v>
      </x:c>
      <x:c r="M407" s="28" t="n">
        <x:v>110658604.63</x:v>
      </x:c>
      <x:c r="N407" s="28" t="n">
        <x:v>71390.79</x:v>
      </x:c>
      <x:c r="O407" s="30" t="n">
        <x:f>IFERROR(I407/H407,0)</x:f>
        <x:v>0.046361002215783195</x:v>
      </x:c>
      <x:c r="P407" s="30" t="n">
        <x:f>IFERROR(J407/I407,0)</x:f>
        <x:v>0.1323529411764706</x:v>
      </x:c>
      <x:c r="Q407" s="30" t="n">
        <x:f>IFERROR(K407/J407,0)</x:f>
        <x:v>0.8055555555555556</x:v>
      </x:c>
      <x:c r="R407" s="30" t="n">
        <x:f>IFERROR(L407/K407,0)</x:f>
        <x:v>0.7586206896551724</x:v>
      </x:c>
      <x:c r="S407" s="28" t="n">
        <x:f>IFERROR(N407/J407,0)</x:f>
        <x:v>1983.0774999999999</x:v>
      </x:c>
      <x:c r="T407" s="28" t="n">
        <x:f>IFERROR(N407/K407,0)</x:f>
        <x:v>2461.7513793103444</x:v>
      </x:c>
      <x:c r="U407" s="28" t="n">
        <x:f>IFERROR(N407/L407,0)</x:f>
        <x:v>3245.0359090909087</x:v>
      </x:c>
    </x:row>
    <x:row r="408">
      <x:c r="A408" t="n">
        <x:v>407</x:v>
      </x:c>
      <x:c r="B408" s="26" t="n">
        <x:v>46124</x:v>
      </x:c>
      <x:c r="C408" t="str">
        <x:v>CPO_Fim_do_Mes</x:v>
      </x:c>
      <x:c r="D408" t="str">
        <x:v>BAI Directo/App</x:v>
      </x:c>
      <x:c r="E408" t="str">
        <x:v>Assalariado</x:v>
      </x:c>
      <x:c r="F408" t="str">
        <x:v>Luanda</x:v>
      </x:c>
      <x:c r="G408" t="str">
        <x:v>Android</x:v>
      </x:c>
      <x:c r="H408" t="n">
        <x:v>8089</x:v>
      </x:c>
      <x:c r="I408" t="n">
        <x:v>576</x:v>
      </x:c>
      <x:c r="J408" t="n">
        <x:v>149</x:v>
      </x:c>
      <x:c r="K408" t="n">
        <x:v>102</x:v>
      </x:c>
      <x:c r="L408" t="n">
        <x:v>63</x:v>
      </x:c>
      <x:c r="M408" s="28" t="n">
        <x:v>131747048.15</x:v>
      </x:c>
      <x:c r="N408" s="28" t="n">
        <x:v>35620.22</x:v>
      </x:c>
      <x:c r="O408" s="30" t="n">
        <x:f>IFERROR(I408/H408,0)</x:f>
        <x:v>0.07120781307949067</x:v>
      </x:c>
      <x:c r="P408" s="30" t="n">
        <x:f>IFERROR(J408/I408,0)</x:f>
        <x:v>0.2586805555555556</x:v>
      </x:c>
      <x:c r="Q408" s="30" t="n">
        <x:f>IFERROR(K408/J408,0)</x:f>
        <x:v>0.6845637583892618</x:v>
      </x:c>
      <x:c r="R408" s="30" t="n">
        <x:f>IFERROR(L408/K408,0)</x:f>
        <x:v>0.6176470588235294</x:v>
      </x:c>
      <x:c r="S408" s="28" t="n">
        <x:f>IFERROR(N408/J408,0)</x:f>
        <x:v>239.06187919463088</x:v>
      </x:c>
      <x:c r="T408" s="28" t="n">
        <x:f>IFERROR(N408/K408,0)</x:f>
        <x:v>349.21784313725493</x:v>
      </x:c>
      <x:c r="U408" s="28" t="n">
        <x:f>IFERROR(N408/L408,0)</x:f>
        <x:v>565.4003174603175</x:v>
      </x:c>
    </x:row>
    <x:row r="409">
      <x:c r="A409" t="n">
        <x:v>408</x:v>
      </x:c>
      <x:c r="B409" s="26" t="n">
        <x:v>46124</x:v>
      </x:c>
      <x:c r="C409" t="str">
        <x:v>CPO_Fim_do_Mes</x:v>
      </x:c>
      <x:c r="D409" t="str">
        <x:v>Google Ads</x:v>
      </x:c>
      <x:c r="E409" t="str">
        <x:v>Pequeno Negócio</x:v>
      </x:c>
      <x:c r="F409" t="str">
        <x:v>Luanda</x:v>
      </x:c>
      <x:c r="G409" t="str">
        <x:v>Desktop</x:v>
      </x:c>
      <x:c r="H409" t="n">
        <x:v>27052</x:v>
      </x:c>
      <x:c r="I409" t="n">
        <x:v>815</x:v>
      </x:c>
      <x:c r="J409" t="n">
        <x:v>135</x:v>
      </x:c>
      <x:c r="K409" t="n">
        <x:v>56</x:v>
      </x:c>
      <x:c r="L409" t="n">
        <x:v>33</x:v>
      </x:c>
      <x:c r="M409" s="28" t="n">
        <x:v>100678123.44</x:v>
      </x:c>
      <x:c r="N409" s="28" t="n">
        <x:v>122115.45</x:v>
      </x:c>
      <x:c r="O409" s="30" t="n">
        <x:f>IFERROR(I409/H409,0)</x:f>
        <x:v>0.03012716250184829</x:v>
      </x:c>
      <x:c r="P409" s="30" t="n">
        <x:f>IFERROR(J409/I409,0)</x:f>
        <x:v>0.1656441717791411</x:v>
      </x:c>
      <x:c r="Q409" s="30" t="n">
        <x:f>IFERROR(K409/J409,0)</x:f>
        <x:v>0.4148148148148148</x:v>
      </x:c>
      <x:c r="R409" s="30" t="n">
        <x:f>IFERROR(L409/K409,0)</x:f>
        <x:v>0.5892857142857143</x:v>
      </x:c>
      <x:c r="S409" s="28" t="n">
        <x:f>IFERROR(N409/J409,0)</x:f>
        <x:v>904.5588888888889</x:v>
      </x:c>
      <x:c r="T409" s="28" t="n">
        <x:f>IFERROR(N409/K409,0)</x:f>
        <x:v>2180.6330357142856</x:v>
      </x:c>
      <x:c r="U409" s="28" t="n">
        <x:f>IFERROR(N409/L409,0)</x:f>
        <x:v>3700.4681818181816</x:v>
      </x:c>
    </x:row>
    <x:row r="410">
      <x:c r="A410" t="n">
        <x:v>409</x:v>
      </x:c>
      <x:c r="B410" s="26" t="n">
        <x:v>46124</x:v>
      </x:c>
      <x:c r="C410" t="str">
        <x:v>CPO_Salario</x:v>
      </x:c>
      <x:c r="D410" t="str">
        <x:v>BAI Directo/App</x:v>
      </x:c>
      <x:c r="E410" t="str">
        <x:v>Pequeno Negócio</x:v>
      </x:c>
      <x:c r="F410" t="str">
        <x:v>Cabinda</x:v>
      </x:c>
      <x:c r="G410" t="str">
        <x:v>Desktop</x:v>
      </x:c>
      <x:c r="H410" t="n">
        <x:v>11106</x:v>
      </x:c>
      <x:c r="I410" t="n">
        <x:v>934</x:v>
      </x:c>
      <x:c r="J410" t="n">
        <x:v>196</x:v>
      </x:c>
      <x:c r="K410" t="n">
        <x:v>77</x:v>
      </x:c>
      <x:c r="L410" t="n">
        <x:v>37</x:v>
      </x:c>
      <x:c r="M410" s="28" t="n">
        <x:v>115119179.24</x:v>
      </x:c>
      <x:c r="N410" s="28" t="n">
        <x:v>128086.07</x:v>
      </x:c>
      <x:c r="O410" s="30" t="n">
        <x:f>IFERROR(I410/H410,0)</x:f>
        <x:v>0.08409868539528183</x:v>
      </x:c>
      <x:c r="P410" s="30" t="n">
        <x:f>IFERROR(J410/I410,0)</x:f>
        <x:v>0.20985010706638116</x:v>
      </x:c>
      <x:c r="Q410" s="30" t="n">
        <x:f>IFERROR(K410/J410,0)</x:f>
        <x:v>0.39285714285714285</x:v>
      </x:c>
      <x:c r="R410" s="30" t="n">
        <x:f>IFERROR(L410/K410,0)</x:f>
        <x:v>0.4805194805194805</x:v>
      </x:c>
      <x:c r="S410" s="28" t="n">
        <x:f>IFERROR(N410/J410,0)</x:f>
        <x:v>653.5003571428572</x:v>
      </x:c>
      <x:c r="T410" s="28" t="n">
        <x:f>IFERROR(N410/K410,0)</x:f>
        <x:v>1663.4554545454546</x:v>
      </x:c>
      <x:c r="U410" s="28" t="n">
        <x:f>IFERROR(N410/L410,0)</x:f>
        <x:v>3461.785675675676</x:v>
      </x:c>
    </x:row>
    <x:row r="411">
      <x:c r="A411" t="n">
        <x:v>410</x:v>
      </x:c>
      <x:c r="B411" s="26" t="n">
        <x:v>46124</x:v>
      </x:c>
      <x:c r="C411" t="str">
        <x:v>CPO_Acesso_Rapido</x:v>
      </x:c>
      <x:c r="D411" t="str">
        <x:v>TikTok Ads</x:v>
      </x:c>
      <x:c r="E411" t="str">
        <x:v>Jovem Profissional</x:v>
      </x:c>
      <x:c r="F411" t="str">
        <x:v>Cabinda</x:v>
      </x:c>
      <x:c r="G411" t="str">
        <x:v>Android</x:v>
      </x:c>
      <x:c r="H411" t="n">
        <x:v>27939</x:v>
      </x:c>
      <x:c r="I411" t="n">
        <x:v>618</x:v>
      </x:c>
      <x:c r="J411" t="n">
        <x:v>63</x:v>
      </x:c>
      <x:c r="K411" t="n">
        <x:v>37</x:v>
      </x:c>
      <x:c r="L411" t="n">
        <x:v>23</x:v>
      </x:c>
      <x:c r="M411" s="28" t="n">
        <x:v>31587298.7</x:v>
      </x:c>
      <x:c r="N411" s="28" t="n">
        <x:v>66451.79</x:v>
      </x:c>
      <x:c r="O411" s="30" t="n">
        <x:f>IFERROR(I411/H411,0)</x:f>
        <x:v>0.022119617738644903</x:v>
      </x:c>
      <x:c r="P411" s="30" t="n">
        <x:f>IFERROR(J411/I411,0)</x:f>
        <x:v>0.10194174757281553</x:v>
      </x:c>
      <x:c r="Q411" s="30" t="n">
        <x:f>IFERROR(K411/J411,0)</x:f>
        <x:v>0.5873015873015873</x:v>
      </x:c>
      <x:c r="R411" s="30" t="n">
        <x:f>IFERROR(L411/K411,0)</x:f>
        <x:v>0.6216216216216216</x:v>
      </x:c>
      <x:c r="S411" s="28" t="n">
        <x:f>IFERROR(N411/J411,0)</x:f>
        <x:v>1054.7903174603173</x:v>
      </x:c>
      <x:c r="T411" s="28" t="n">
        <x:f>IFERROR(N411/K411,0)</x:f>
        <x:v>1795.9943243243242</x:v>
      </x:c>
      <x:c r="U411" s="28" t="n">
        <x:f>IFERROR(N411/L411,0)</x:f>
        <x:v>2889.208260869565</x:v>
      </x:c>
    </x:row>
    <x:row r="412">
      <x:c r="A412" t="n">
        <x:v>411</x:v>
      </x:c>
      <x:c r="B412" s="26" t="n">
        <x:v>46125</x:v>
      </x:c>
      <x:c r="C412" t="str">
        <x:v>CPO_Digital_360</x:v>
      </x:c>
      <x:c r="D412" t="str">
        <x:v>Meta Ads</x:v>
      </x:c>
      <x:c r="E412" t="str">
        <x:v>Funcionário Público</x:v>
      </x:c>
      <x:c r="F412" t="str">
        <x:v>Luanda</x:v>
      </x:c>
      <x:c r="G412" t="str">
        <x:v>Android</x:v>
      </x:c>
      <x:c r="H412" t="n">
        <x:v>19901</x:v>
      </x:c>
      <x:c r="I412" t="n">
        <x:v>168</x:v>
      </x:c>
      <x:c r="J412" t="n">
        <x:v>14</x:v>
      </x:c>
      <x:c r="K412" t="n">
        <x:v>8</x:v>
      </x:c>
      <x:c r="L412" t="n">
        <x:v>5</x:v>
      </x:c>
      <x:c r="M412" s="28" t="n">
        <x:v>8182545.73</x:v>
      </x:c>
      <x:c r="N412" s="28" t="n">
        <x:v>12963.95</x:v>
      </x:c>
      <x:c r="O412" s="30" t="n">
        <x:f>IFERROR(I412/H412,0)</x:f>
        <x:v>0.008441786844882167</x:v>
      </x:c>
      <x:c r="P412" s="30" t="n">
        <x:f>IFERROR(J412/I412,0)</x:f>
        <x:v>0.08333333333333333</x:v>
      </x:c>
      <x:c r="Q412" s="30" t="n">
        <x:f>IFERROR(K412/J412,0)</x:f>
        <x:v>0.5714285714285714</x:v>
      </x:c>
      <x:c r="R412" s="30" t="n">
        <x:f>IFERROR(L412/K412,0)</x:f>
        <x:v>0.625</x:v>
      </x:c>
      <x:c r="S412" s="28" t="n">
        <x:f>IFERROR(N412/J412,0)</x:f>
        <x:v>925.9964285714286</x:v>
      </x:c>
      <x:c r="T412" s="28" t="n">
        <x:f>IFERROR(N412/K412,0)</x:f>
        <x:v>1620.49375</x:v>
      </x:c>
      <x:c r="U412" s="28" t="n">
        <x:f>IFERROR(N412/L412,0)</x:f>
        <x:v>2592.79</x:v>
      </x:c>
    </x:row>
    <x:row r="413">
      <x:c r="A413" t="n">
        <x:v>412</x:v>
      </x:c>
      <x:c r="B413" s="26" t="n">
        <x:v>46125</x:v>
      </x:c>
      <x:c r="C413" t="str">
        <x:v>CPO_Acesso_Rapido</x:v>
      </x:c>
      <x:c r="D413" t="str">
        <x:v>BAI Directo/App</x:v>
      </x:c>
      <x:c r="E413" t="str">
        <x:v>Premium</x:v>
      </x:c>
      <x:c r="F413" t="str">
        <x:v>Luanda</x:v>
      </x:c>
      <x:c r="G413" t="str">
        <x:v>Android</x:v>
      </x:c>
      <x:c r="H413" t="n">
        <x:v>10994</x:v>
      </x:c>
      <x:c r="I413" t="n">
        <x:v>832</x:v>
      </x:c>
      <x:c r="J413" t="n">
        <x:v>226</x:v>
      </x:c>
      <x:c r="K413" t="n">
        <x:v>185</x:v>
      </x:c>
      <x:c r="L413" t="n">
        <x:v>135</x:v>
      </x:c>
      <x:c r="M413" s="28" t="n">
        <x:v>712129759.59</x:v>
      </x:c>
      <x:c r="N413" s="28" t="n">
        <x:v>52817.03</x:v>
      </x:c>
      <x:c r="O413" s="30" t="n">
        <x:f>IFERROR(I413/H413,0)</x:f>
        <x:v>0.07567764235037293</x:v>
      </x:c>
      <x:c r="P413" s="30" t="n">
        <x:f>IFERROR(J413/I413,0)</x:f>
        <x:v>0.27163461538461536</x:v>
      </x:c>
      <x:c r="Q413" s="30" t="n">
        <x:f>IFERROR(K413/J413,0)</x:f>
        <x:v>0.8185840707964602</x:v>
      </x:c>
      <x:c r="R413" s="30" t="n">
        <x:f>IFERROR(L413/K413,0)</x:f>
        <x:v>0.7297297297297297</x:v>
      </x:c>
      <x:c r="S413" s="28" t="n">
        <x:f>IFERROR(N413/J413,0)</x:f>
        <x:v>233.70367256637167</x:v>
      </x:c>
      <x:c r="T413" s="28" t="n">
        <x:f>IFERROR(N413/K413,0)</x:f>
        <x:v>285.49745945945944</x:v>
      </x:c>
      <x:c r="U413" s="28" t="n">
        <x:f>IFERROR(N413/L413,0)</x:f>
        <x:v>391.23725925925925</x:v>
      </x:c>
    </x:row>
    <x:row r="414">
      <x:c r="A414" t="n">
        <x:v>413</x:v>
      </x:c>
      <x:c r="B414" s="26" t="n">
        <x:v>46125</x:v>
      </x:c>
      <x:c r="C414" t="str">
        <x:v>CPO_Acesso_Rapido</x:v>
      </x:c>
      <x:c r="D414" t="str">
        <x:v>SMS</x:v>
      </x:c>
      <x:c r="E414" t="str">
        <x:v>Funcionário Público</x:v>
      </x:c>
      <x:c r="F414" t="str">
        <x:v>Huíla</x:v>
      </x:c>
      <x:c r="G414" t="str">
        <x:v>iOS</x:v>
      </x:c>
      <x:c r="H414" t="n">
        <x:v>7631</x:v>
      </x:c>
      <x:c r="I414" t="n">
        <x:v>684</x:v>
      </x:c>
      <x:c r="J414" t="n">
        <x:v>122</x:v>
      </x:c>
      <x:c r="K414" t="n">
        <x:v>74</x:v>
      </x:c>
      <x:c r="L414" t="n">
        <x:v>56</x:v>
      </x:c>
      <x:c r="M414" s="28" t="n">
        <x:v>99002825.2</x:v>
      </x:c>
      <x:c r="N414" s="28" t="n">
        <x:v>56061.14</x:v>
      </x:c>
      <x:c r="O414" s="30" t="n">
        <x:f>IFERROR(I414/H414,0)</x:f>
        <x:v>0.08963438605687328</x:v>
      </x:c>
      <x:c r="P414" s="30" t="n">
        <x:f>IFERROR(J414/I414,0)</x:f>
        <x:v>0.1783625730994152</x:v>
      </x:c>
      <x:c r="Q414" s="30" t="n">
        <x:f>IFERROR(K414/J414,0)</x:f>
        <x:v>0.6065573770491803</x:v>
      </x:c>
      <x:c r="R414" s="30" t="n">
        <x:f>IFERROR(L414/K414,0)</x:f>
        <x:v>0.7567567567567568</x:v>
      </x:c>
      <x:c r="S414" s="28" t="n">
        <x:f>IFERROR(N414/J414,0)</x:f>
        <x:v>459.5175409836066</x:v>
      </x:c>
      <x:c r="T414" s="28" t="n">
        <x:f>IFERROR(N414/K414,0)</x:f>
        <x:v>757.5829729729729</x:v>
      </x:c>
      <x:c r="U414" s="28" t="n">
        <x:f>IFERROR(N414/L414,0)</x:f>
        <x:v>1001.0917857142857</x:v>
      </x:c>
    </x:row>
    <x:row r="415">
      <x:c r="A415" t="n">
        <x:v>414</x:v>
      </x:c>
      <x:c r="B415" s="26" t="n">
        <x:v>46125</x:v>
      </x:c>
      <x:c r="C415" t="str">
        <x:v>CPO_Acesso_Rapido</x:v>
      </x:c>
      <x:c r="D415" t="str">
        <x:v>BAI Directo/App</x:v>
      </x:c>
      <x:c r="E415" t="str">
        <x:v>Pequeno Negócio</x:v>
      </x:c>
      <x:c r="F415" t="str">
        <x:v>Luanda</x:v>
      </x:c>
      <x:c r="G415" t="str">
        <x:v>iOS</x:v>
      </x:c>
      <x:c r="H415" t="n">
        <x:v>9855</x:v>
      </x:c>
      <x:c r="I415" t="n">
        <x:v>1077</x:v>
      </x:c>
      <x:c r="J415" t="n">
        <x:v>304</x:v>
      </x:c>
      <x:c r="K415" t="n">
        <x:v>114</x:v>
      </x:c>
      <x:c r="L415" t="n">
        <x:v>54</x:v>
      </x:c>
      <x:c r="M415" s="28" t="n">
        <x:v>155163270.93</x:v>
      </x:c>
      <x:c r="N415" s="28" t="n">
        <x:v>71564.66</x:v>
      </x:c>
      <x:c r="O415" s="30" t="n">
        <x:f>IFERROR(I415/H415,0)</x:f>
        <x:v>0.10928462709284627</x:v>
      </x:c>
      <x:c r="P415" s="30" t="n">
        <x:f>IFERROR(J415/I415,0)</x:f>
        <x:v>0.2822655524605385</x:v>
      </x:c>
      <x:c r="Q415" s="30" t="n">
        <x:f>IFERROR(K415/J415,0)</x:f>
        <x:v>0.375</x:v>
      </x:c>
      <x:c r="R415" s="30" t="n">
        <x:f>IFERROR(L415/K415,0)</x:f>
        <x:v>0.47368421052631576</x:v>
      </x:c>
      <x:c r="S415" s="28" t="n">
        <x:f>IFERROR(N415/J415,0)</x:f>
        <x:v>235.4100657894737</x:v>
      </x:c>
      <x:c r="T415" s="28" t="n">
        <x:f>IFERROR(N415/K415,0)</x:f>
        <x:v>627.7601754385965</x:v>
      </x:c>
      <x:c r="U415" s="28" t="n">
        <x:f>IFERROR(N415/L415,0)</x:f>
        <x:v>1325.2714814814815</x:v>
      </x:c>
    </x:row>
    <x:row r="416">
      <x:c r="A416" t="n">
        <x:v>415</x:v>
      </x:c>
      <x:c r="B416" s="26" t="n">
        <x:v>46125</x:v>
      </x:c>
      <x:c r="C416" t="str">
        <x:v>CPO_Premium</x:v>
      </x:c>
      <x:c r="D416" t="str">
        <x:v>BAI Directo/App</x:v>
      </x:c>
      <x:c r="E416" t="str">
        <x:v>Pequeno Negócio</x:v>
      </x:c>
      <x:c r="F416" t="str">
        <x:v>Benguela</x:v>
      </x:c>
      <x:c r="G416" t="str">
        <x:v>Android</x:v>
      </x:c>
      <x:c r="H416" t="n">
        <x:v>6700</x:v>
      </x:c>
      <x:c r="I416" t="n">
        <x:v>658</x:v>
      </x:c>
      <x:c r="J416" t="n">
        <x:v>183</x:v>
      </x:c>
      <x:c r="K416" t="n">
        <x:v>99</x:v>
      </x:c>
      <x:c r="L416" t="n">
        <x:v>33</x:v>
      </x:c>
      <x:c r="M416" s="28" t="n">
        <x:v>96666274.25</x:v>
      </x:c>
      <x:c r="N416" s="28" t="n">
        <x:v>73829.52</x:v>
      </x:c>
      <x:c r="O416" s="30" t="n">
        <x:f>IFERROR(I416/H416,0)</x:f>
        <x:v>0.0982089552238806</x:v>
      </x:c>
      <x:c r="P416" s="30" t="n">
        <x:f>IFERROR(J416/I416,0)</x:f>
        <x:v>0.27811550151975684</x:v>
      </x:c>
      <x:c r="Q416" s="30" t="n">
        <x:f>IFERROR(K416/J416,0)</x:f>
        <x:v>0.5409836065573771</x:v>
      </x:c>
      <x:c r="R416" s="30" t="n">
        <x:f>IFERROR(L416/K416,0)</x:f>
        <x:v>0.3333333333333333</x:v>
      </x:c>
      <x:c r="S416" s="28" t="n">
        <x:f>IFERROR(N416/J416,0)</x:f>
        <x:v>403.44</x:v>
      </x:c>
      <x:c r="T416" s="28" t="n">
        <x:f>IFERROR(N416/K416,0)</x:f>
        <x:v>745.7527272727273</x:v>
      </x:c>
      <x:c r="U416" s="28" t="n">
        <x:f>IFERROR(N416/L416,0)</x:f>
        <x:v>2237.258181818182</x:v>
      </x:c>
    </x:row>
    <x:row r="417">
      <x:c r="A417" t="n">
        <x:v>416</x:v>
      </x:c>
      <x:c r="B417" s="26" t="n">
        <x:v>46126</x:v>
      </x:c>
      <x:c r="C417" t="str">
        <x:v>CPO_Premium</x:v>
      </x:c>
      <x:c r="D417" t="str">
        <x:v>BAI Directo/App</x:v>
      </x:c>
      <x:c r="E417" t="str">
        <x:v>Pequeno Negócio</x:v>
      </x:c>
      <x:c r="F417" t="str">
        <x:v>Luanda</x:v>
      </x:c>
      <x:c r="G417" t="str">
        <x:v>Android</x:v>
      </x:c>
      <x:c r="H417" t="n">
        <x:v>3152</x:v>
      </x:c>
      <x:c r="I417" t="n">
        <x:v>423</x:v>
      </x:c>
      <x:c r="J417" t="n">
        <x:v>87</x:v>
      </x:c>
      <x:c r="K417" t="n">
        <x:v>49</x:v>
      </x:c>
      <x:c r="L417" t="n">
        <x:v>35</x:v>
      </x:c>
      <x:c r="M417" s="28" t="n">
        <x:v>106464452.87</x:v>
      </x:c>
      <x:c r="N417" s="28" t="n">
        <x:v>21852</x:v>
      </x:c>
      <x:c r="O417" s="30" t="n">
        <x:f>IFERROR(I417/H417,0)</x:f>
        <x:v>0.1342005076142132</x:v>
      </x:c>
      <x:c r="P417" s="30" t="n">
        <x:f>IFERROR(J417/I417,0)</x:f>
        <x:v>0.20567375886524822</x:v>
      </x:c>
      <x:c r="Q417" s="30" t="n">
        <x:f>IFERROR(K417/J417,0)</x:f>
        <x:v>0.5632183908045977</x:v>
      </x:c>
      <x:c r="R417" s="30" t="n">
        <x:f>IFERROR(L417/K417,0)</x:f>
        <x:v>0.7142857142857143</x:v>
      </x:c>
      <x:c r="S417" s="28" t="n">
        <x:f>IFERROR(N417/J417,0)</x:f>
        <x:v>251.17241379310346</x:v>
      </x:c>
      <x:c r="T417" s="28" t="n">
        <x:f>IFERROR(N417/K417,0)</x:f>
        <x:v>445.9591836734694</x:v>
      </x:c>
      <x:c r="U417" s="28" t="n">
        <x:f>IFERROR(N417/L417,0)</x:f>
        <x:v>624.3428571428572</x:v>
      </x:c>
    </x:row>
    <x:row r="418">
      <x:c r="A418" t="n">
        <x:v>417</x:v>
      </x:c>
      <x:c r="B418" s="26" t="n">
        <x:v>46126</x:v>
      </x:c>
      <x:c r="C418" t="str">
        <x:v>CPO_Salario</x:v>
      </x:c>
      <x:c r="D418" t="str">
        <x:v>E-mail</x:v>
      </x:c>
      <x:c r="E418" t="str">
        <x:v>Assalariado</x:v>
      </x:c>
      <x:c r="F418" t="str">
        <x:v>Luanda</x:v>
      </x:c>
      <x:c r="G418" t="str">
        <x:v>iOS</x:v>
      </x:c>
      <x:c r="H418" t="n">
        <x:v>5637</x:v>
      </x:c>
      <x:c r="I418" t="n">
        <x:v>230</x:v>
      </x:c>
      <x:c r="J418" t="n">
        <x:v>22</x:v>
      </x:c>
      <x:c r="K418" t="n">
        <x:v>18</x:v>
      </x:c>
      <x:c r="L418" t="n">
        <x:v>9</x:v>
      </x:c>
      <x:c r="M418" s="28" t="n">
        <x:v>19798517.42</x:v>
      </x:c>
      <x:c r="N418" s="28" t="n">
        <x:v>65380.85</x:v>
      </x:c>
      <x:c r="O418" s="30" t="n">
        <x:f>IFERROR(I418/H418,0)</x:f>
        <x:v>0.04080184495298918</x:v>
      </x:c>
      <x:c r="P418" s="30" t="n">
        <x:f>IFERROR(J418/I418,0)</x:f>
        <x:v>0.09565217391304348</x:v>
      </x:c>
      <x:c r="Q418" s="30" t="n">
        <x:f>IFERROR(K418/J418,0)</x:f>
        <x:v>0.8181818181818182</x:v>
      </x:c>
      <x:c r="R418" s="30" t="n">
        <x:f>IFERROR(L418/K418,0)</x:f>
        <x:v>0.5</x:v>
      </x:c>
      <x:c r="S418" s="28" t="n">
        <x:f>IFERROR(N418/J418,0)</x:f>
        <x:v>2971.856818181818</x:v>
      </x:c>
      <x:c r="T418" s="28" t="n">
        <x:f>IFERROR(N418/K418,0)</x:f>
        <x:v>3632.269444444444</x:v>
      </x:c>
      <x:c r="U418" s="28" t="n">
        <x:f>IFERROR(N418/L418,0)</x:f>
        <x:v>7264.538888888888</x:v>
      </x:c>
    </x:row>
    <x:row r="419">
      <x:c r="A419" t="n">
        <x:v>418</x:v>
      </x:c>
      <x:c r="B419" s="26" t="n">
        <x:v>46126</x:v>
      </x:c>
      <x:c r="C419" t="str">
        <x:v>CPO_Always_On</x:v>
      </x:c>
      <x:c r="D419" t="str">
        <x:v>E-mail</x:v>
      </x:c>
      <x:c r="E419" t="str">
        <x:v>Assalariado</x:v>
      </x:c>
      <x:c r="F419" t="str">
        <x:v>Benguela</x:v>
      </x:c>
      <x:c r="G419" t="str">
        <x:v>Desktop</x:v>
      </x:c>
      <x:c r="H419" t="n">
        <x:v>946</x:v>
      </x:c>
      <x:c r="I419" t="n">
        <x:v>61</x:v>
      </x:c>
      <x:c r="J419" t="n">
        <x:v>5</x:v>
      </x:c>
      <x:c r="K419" t="n">
        <x:v>3</x:v>
      </x:c>
      <x:c r="L419" t="n">
        <x:v>2</x:v>
      </x:c>
      <x:c r="M419" s="28" t="n">
        <x:v>5159417.86</x:v>
      </x:c>
      <x:c r="N419" s="28" t="n">
        <x:v>10173.83</x:v>
      </x:c>
      <x:c r="O419" s="30" t="n">
        <x:f>IFERROR(I419/H419,0)</x:f>
        <x:v>0.06448202959830866</x:v>
      </x:c>
      <x:c r="P419" s="30" t="n">
        <x:f>IFERROR(J419/I419,0)</x:f>
        <x:v>0.08196721311475409</x:v>
      </x:c>
      <x:c r="Q419" s="30" t="n">
        <x:f>IFERROR(K419/J419,0)</x:f>
        <x:v>0.6</x:v>
      </x:c>
      <x:c r="R419" s="30" t="n">
        <x:f>IFERROR(L419/K419,0)</x:f>
        <x:v>0.6666666666666666</x:v>
      </x:c>
      <x:c r="S419" s="28" t="n">
        <x:f>IFERROR(N419/J419,0)</x:f>
        <x:v>2034.766</x:v>
      </x:c>
      <x:c r="T419" s="28" t="n">
        <x:f>IFERROR(N419/K419,0)</x:f>
        <x:v>3391.2766666666666</x:v>
      </x:c>
      <x:c r="U419" s="28" t="n">
        <x:f>IFERROR(N419/L419,0)</x:f>
        <x:v>5086.915</x:v>
      </x:c>
    </x:row>
    <x:row r="420">
      <x:c r="A420" t="n">
        <x:v>419</x:v>
      </x:c>
      <x:c r="B420" s="26" t="n">
        <x:v>46126</x:v>
      </x:c>
      <x:c r="C420" t="str">
        <x:v>CPO_Premium</x:v>
      </x:c>
      <x:c r="D420" t="str">
        <x:v>Meta Ads</x:v>
      </x:c>
      <x:c r="E420" t="str">
        <x:v>Jovem Profissional</x:v>
      </x:c>
      <x:c r="F420" t="str">
        <x:v>Cuanza Sul</x:v>
      </x:c>
      <x:c r="G420" t="str">
        <x:v>iOS</x:v>
      </x:c>
      <x:c r="H420" t="n">
        <x:v>23032</x:v>
      </x:c>
      <x:c r="I420" t="n">
        <x:v>384</x:v>
      </x:c>
      <x:c r="J420" t="n">
        <x:v>46</x:v>
      </x:c>
      <x:c r="K420" t="n">
        <x:v>21</x:v>
      </x:c>
      <x:c r="L420" t="n">
        <x:v>13</x:v>
      </x:c>
      <x:c r="M420" s="28" t="n">
        <x:v>12652616.69</x:v>
      </x:c>
      <x:c r="N420" s="28" t="n">
        <x:v>62023.29</x:v>
      </x:c>
      <x:c r="O420" s="30" t="n">
        <x:f>IFERROR(I420/H420,0)</x:f>
        <x:v>0.01667245571378951</x:v>
      </x:c>
      <x:c r="P420" s="30" t="n">
        <x:f>IFERROR(J420/I420,0)</x:f>
        <x:v>0.11979166666666667</x:v>
      </x:c>
      <x:c r="Q420" s="30" t="n">
        <x:f>IFERROR(K420/J420,0)</x:f>
        <x:v>0.45652173913043476</x:v>
      </x:c>
      <x:c r="R420" s="30" t="n">
        <x:f>IFERROR(L420/K420,0)</x:f>
        <x:v>0.6190476190476191</x:v>
      </x:c>
      <x:c r="S420" s="28" t="n">
        <x:f>IFERROR(N420/J420,0)</x:f>
        <x:v>1348.3323913043478</x:v>
      </x:c>
      <x:c r="T420" s="28" t="n">
        <x:f>IFERROR(N420/K420,0)</x:f>
        <x:v>2953.4900000000002</x:v>
      </x:c>
      <x:c r="U420" s="28" t="n">
        <x:f>IFERROR(N420/L420,0)</x:f>
        <x:v>4771.022307692308</x:v>
      </x:c>
    </x:row>
    <x:row r="421">
      <x:c r="A421" t="n">
        <x:v>420</x:v>
      </x:c>
      <x:c r="B421" s="26" t="n">
        <x:v>46126</x:v>
      </x:c>
      <x:c r="C421" t="str">
        <x:v>CPO_Fim_do_Mes</x:v>
      </x:c>
      <x:c r="D421" t="str">
        <x:v>Meta Ads</x:v>
      </x:c>
      <x:c r="E421" t="str">
        <x:v>Assalariado</x:v>
      </x:c>
      <x:c r="F421" t="str">
        <x:v>Luanda</x:v>
      </x:c>
      <x:c r="G421" t="str">
        <x:v>Android</x:v>
      </x:c>
      <x:c r="H421" t="n">
        <x:v>24766</x:v>
      </x:c>
      <x:c r="I421" t="n">
        <x:v>319</x:v>
      </x:c>
      <x:c r="J421" t="n">
        <x:v>40</x:v>
      </x:c>
      <x:c r="K421" t="n">
        <x:v>32</x:v>
      </x:c>
      <x:c r="L421" t="n">
        <x:v>23</x:v>
      </x:c>
      <x:c r="M421" s="28" t="n">
        <x:v>50724715.09</x:v>
      </x:c>
      <x:c r="N421" s="28" t="n">
        <x:v>14710.16</x:v>
      </x:c>
      <x:c r="O421" s="30" t="n">
        <x:f>IFERROR(I421/H421,0)</x:f>
        <x:v>0.01288056206088993</x:v>
      </x:c>
      <x:c r="P421" s="30" t="n">
        <x:f>IFERROR(J421/I421,0)</x:f>
        <x:v>0.12539184952978055</x:v>
      </x:c>
      <x:c r="Q421" s="30" t="n">
        <x:f>IFERROR(K421/J421,0)</x:f>
        <x:v>0.8</x:v>
      </x:c>
      <x:c r="R421" s="30" t="n">
        <x:f>IFERROR(L421/K421,0)</x:f>
        <x:v>0.71875</x:v>
      </x:c>
      <x:c r="S421" s="28" t="n">
        <x:f>IFERROR(N421/J421,0)</x:f>
        <x:v>367.754</x:v>
      </x:c>
      <x:c r="T421" s="28" t="n">
        <x:f>IFERROR(N421/K421,0)</x:f>
        <x:v>459.6925</x:v>
      </x:c>
      <x:c r="U421" s="28" t="n">
        <x:f>IFERROR(N421/L421,0)</x:f>
        <x:v>639.5721739130435</x:v>
      </x:c>
    </x:row>
    <x:row r="422">
      <x:c r="A422" t="n">
        <x:v>421</x:v>
      </x:c>
      <x:c r="B422" s="26" t="n">
        <x:v>46127</x:v>
      </x:c>
      <x:c r="C422" t="str">
        <x:v>CPO_Fim_do_Mes</x:v>
      </x:c>
      <x:c r="D422" t="str">
        <x:v>E-mail</x:v>
      </x:c>
      <x:c r="E422" t="str">
        <x:v>Pequeno Negócio</x:v>
      </x:c>
      <x:c r="F422" t="str">
        <x:v>Luanda</x:v>
      </x:c>
      <x:c r="G422" t="str">
        <x:v>Android</x:v>
      </x:c>
      <x:c r="H422" t="n">
        <x:v>10408</x:v>
      </x:c>
      <x:c r="I422" t="n">
        <x:v>572</x:v>
      </x:c>
      <x:c r="J422" t="n">
        <x:v>60</x:v>
      </x:c>
      <x:c r="K422" t="n">
        <x:v>40</x:v>
      </x:c>
      <x:c r="L422" t="n">
        <x:v>13</x:v>
      </x:c>
      <x:c r="M422" s="28" t="n">
        <x:v>34628713.28</x:v>
      </x:c>
      <x:c r="N422" s="28" t="n">
        <x:v>107727.37</x:v>
      </x:c>
      <x:c r="O422" s="30" t="n">
        <x:f>IFERROR(I422/H422,0)</x:f>
        <x:v>0.05495772482705611</x:v>
      </x:c>
      <x:c r="P422" s="30" t="n">
        <x:f>IFERROR(J422/I422,0)</x:f>
        <x:v>0.1048951048951049</x:v>
      </x:c>
      <x:c r="Q422" s="30" t="n">
        <x:f>IFERROR(K422/J422,0)</x:f>
        <x:v>0.6666666666666666</x:v>
      </x:c>
      <x:c r="R422" s="30" t="n">
        <x:f>IFERROR(L422/K422,0)</x:f>
        <x:v>0.325</x:v>
      </x:c>
      <x:c r="S422" s="28" t="n">
        <x:f>IFERROR(N422/J422,0)</x:f>
        <x:v>1795.4561666666666</x:v>
      </x:c>
      <x:c r="T422" s="28" t="n">
        <x:f>IFERROR(N422/K422,0)</x:f>
        <x:v>2693.18425</x:v>
      </x:c>
      <x:c r="U422" s="28" t="n">
        <x:f>IFERROR(N422/L422,0)</x:f>
        <x:v>8286.72076923077</x:v>
      </x:c>
    </x:row>
    <x:row r="423">
      <x:c r="A423" t="n">
        <x:v>422</x:v>
      </x:c>
      <x:c r="B423" s="26" t="n">
        <x:v>46127</x:v>
      </x:c>
      <x:c r="C423" t="str">
        <x:v>CPO_Premium</x:v>
      </x:c>
      <x:c r="D423" t="str">
        <x:v>SMS</x:v>
      </x:c>
      <x:c r="E423" t="str">
        <x:v>Premium</x:v>
      </x:c>
      <x:c r="F423" t="str">
        <x:v>Benguela</x:v>
      </x:c>
      <x:c r="G423" t="str">
        <x:v>Android</x:v>
      </x:c>
      <x:c r="H423" t="n">
        <x:v>5954</x:v>
      </x:c>
      <x:c r="I423" t="n">
        <x:v>711</x:v>
      </x:c>
      <x:c r="J423" t="n">
        <x:v>97</x:v>
      </x:c>
      <x:c r="K423" t="n">
        <x:v>53</x:v>
      </x:c>
      <x:c r="L423" t="n">
        <x:v>42</x:v>
      </x:c>
      <x:c r="M423" s="28" t="n">
        <x:v>226602998.65</x:v>
      </x:c>
      <x:c r="N423" s="28" t="n">
        <x:v>89031.53</x:v>
      </x:c>
      <x:c r="O423" s="30" t="n">
        <x:f>IFERROR(I423/H423,0)</x:f>
        <x:v>0.11941551897883776</x:v>
      </x:c>
      <x:c r="P423" s="30" t="n">
        <x:f>IFERROR(J423/I423,0)</x:f>
        <x:v>0.13642756680731363</x:v>
      </x:c>
      <x:c r="Q423" s="30" t="n">
        <x:f>IFERROR(K423/J423,0)</x:f>
        <x:v>0.5463917525773195</x:v>
      </x:c>
      <x:c r="R423" s="30" t="n">
        <x:f>IFERROR(L423/K423,0)</x:f>
        <x:v>0.7924528301886793</x:v>
      </x:c>
      <x:c r="S423" s="28" t="n">
        <x:f>IFERROR(N423/J423,0)</x:f>
        <x:v>917.8508247422681</x:v>
      </x:c>
      <x:c r="T423" s="28" t="n">
        <x:f>IFERROR(N423/K423,0)</x:f>
        <x:v>1679.8401886792453</x:v>
      </x:c>
      <x:c r="U423" s="28" t="n">
        <x:f>IFERROR(N423/L423,0)</x:f>
        <x:v>2119.798333333333</x:v>
      </x:c>
    </x:row>
    <x:row r="424">
      <x:c r="A424" t="n">
        <x:v>423</x:v>
      </x:c>
      <x:c r="B424" s="26" t="n">
        <x:v>46127</x:v>
      </x:c>
      <x:c r="C424" t="str">
        <x:v>CPO_Fim_do_Mes</x:v>
      </x:c>
      <x:c r="D424" t="str">
        <x:v>BAI Directo/App</x:v>
      </x:c>
      <x:c r="E424" t="str">
        <x:v>Funcionário Público</x:v>
      </x:c>
      <x:c r="F424" t="str">
        <x:v>Malanje</x:v>
      </x:c>
      <x:c r="G424" t="str">
        <x:v>Android</x:v>
      </x:c>
      <x:c r="H424" t="n">
        <x:v>1145</x:v>
      </x:c>
      <x:c r="I424" t="n">
        <x:v>107</x:v>
      </x:c>
      <x:c r="J424" t="n">
        <x:v>27</x:v>
      </x:c>
      <x:c r="K424" t="n">
        <x:v>20</x:v>
      </x:c>
      <x:c r="L424" t="n">
        <x:v>16</x:v>
      </x:c>
      <x:c r="M424" s="28" t="n">
        <x:v>26712181.49</x:v>
      </x:c>
      <x:c r="N424" s="28" t="n">
        <x:v>10734.17</x:v>
      </x:c>
      <x:c r="O424" s="30" t="n">
        <x:f>IFERROR(I424/H424,0)</x:f>
        <x:v>0.09344978165938865</x:v>
      </x:c>
      <x:c r="P424" s="30" t="n">
        <x:f>IFERROR(J424/I424,0)</x:f>
        <x:v>0.2523364485981308</x:v>
      </x:c>
      <x:c r="Q424" s="30" t="n">
        <x:f>IFERROR(K424/J424,0)</x:f>
        <x:v>0.7407407407407407</x:v>
      </x:c>
      <x:c r="R424" s="30" t="n">
        <x:f>IFERROR(L424/K424,0)</x:f>
        <x:v>0.8</x:v>
      </x:c>
      <x:c r="S424" s="28" t="n">
        <x:f>IFERROR(N424/J424,0)</x:f>
        <x:v>397.5618518518518</x:v>
      </x:c>
      <x:c r="T424" s="28" t="n">
        <x:f>IFERROR(N424/K424,0)</x:f>
        <x:v>536.7085</x:v>
      </x:c>
      <x:c r="U424" s="28" t="n">
        <x:f>IFERROR(N424/L424,0)</x:f>
        <x:v>670.885625</x:v>
      </x:c>
    </x:row>
    <x:row r="425">
      <x:c r="A425" t="n">
        <x:v>424</x:v>
      </x:c>
      <x:c r="B425" s="26" t="n">
        <x:v>46128</x:v>
      </x:c>
      <x:c r="C425" t="str">
        <x:v>CPO_Fim_do_Mes</x:v>
      </x:c>
      <x:c r="D425" t="str">
        <x:v>BAI Directo/App</x:v>
      </x:c>
      <x:c r="E425" t="str">
        <x:v>Assalariado</x:v>
      </x:c>
      <x:c r="F425" t="str">
        <x:v>Uíge</x:v>
      </x:c>
      <x:c r="G425" t="str">
        <x:v>Android</x:v>
      </x:c>
      <x:c r="H425" t="n">
        <x:v>5016</x:v>
      </x:c>
      <x:c r="I425" t="n">
        <x:v>413</x:v>
      </x:c>
      <x:c r="J425" t="n">
        <x:v>90</x:v>
      </x:c>
      <x:c r="K425" t="n">
        <x:v>72</x:v>
      </x:c>
      <x:c r="L425" t="n">
        <x:v>44</x:v>
      </x:c>
      <x:c r="M425" s="28" t="n">
        <x:v>101441577.77</x:v>
      </x:c>
      <x:c r="N425" s="28" t="n">
        <x:v>73250.18</x:v>
      </x:c>
      <x:c r="O425" s="30" t="n">
        <x:f>IFERROR(I425/H425,0)</x:f>
        <x:v>0.0823365231259968</x:v>
      </x:c>
      <x:c r="P425" s="30" t="n">
        <x:f>IFERROR(J425/I425,0)</x:f>
        <x:v>0.2179176755447942</x:v>
      </x:c>
      <x:c r="Q425" s="30" t="n">
        <x:f>IFERROR(K425/J425,0)</x:f>
        <x:v>0.8</x:v>
      </x:c>
      <x:c r="R425" s="30" t="n">
        <x:f>IFERROR(L425/K425,0)</x:f>
        <x:v>0.6111111111111112</x:v>
      </x:c>
      <x:c r="S425" s="28" t="n">
        <x:f>IFERROR(N425/J425,0)</x:f>
        <x:v>813.8908888888889</x:v>
      </x:c>
      <x:c r="T425" s="28" t="n">
        <x:f>IFERROR(N425/K425,0)</x:f>
        <x:v>1017.363611111111</x:v>
      </x:c>
      <x:c r="U425" s="28" t="n">
        <x:f>IFERROR(N425/L425,0)</x:f>
        <x:v>1664.776818181818</x:v>
      </x:c>
    </x:row>
    <x:row r="426">
      <x:c r="A426" t="n">
        <x:v>425</x:v>
      </x:c>
      <x:c r="B426" s="26" t="n">
        <x:v>46128</x:v>
      </x:c>
      <x:c r="C426" t="str">
        <x:v>CPO_Always_On</x:v>
      </x:c>
      <x:c r="D426" t="str">
        <x:v>Google Ads</x:v>
      </x:c>
      <x:c r="E426" t="str">
        <x:v>Jovem Profissional</x:v>
      </x:c>
      <x:c r="F426" t="str">
        <x:v>Huíla</x:v>
      </x:c>
      <x:c r="G426" t="str">
        <x:v>iOS</x:v>
      </x:c>
      <x:c r="H426" t="n">
        <x:v>26822</x:v>
      </x:c>
      <x:c r="I426" t="n">
        <x:v>931</x:v>
      </x:c>
      <x:c r="J426" t="n">
        <x:v>157</x:v>
      </x:c>
      <x:c r="K426" t="n">
        <x:v>91</x:v>
      </x:c>
      <x:c r="L426" t="n">
        <x:v>57</x:v>
      </x:c>
      <x:c r="M426" s="28" t="n">
        <x:v>76698251.93</x:v>
      </x:c>
      <x:c r="N426" s="28" t="n">
        <x:v>164787.47</x:v>
      </x:c>
      <x:c r="O426" s="30" t="n">
        <x:f>IFERROR(I426/H426,0)</x:f>
        <x:v>0.034710312430094696</x:v>
      </x:c>
      <x:c r="P426" s="30" t="n">
        <x:f>IFERROR(J426/I426,0)</x:f>
        <x:v>0.1686358754027927</x:v>
      </x:c>
      <x:c r="Q426" s="30" t="n">
        <x:f>IFERROR(K426/J426,0)</x:f>
        <x:v>0.5796178343949044</x:v>
      </x:c>
      <x:c r="R426" s="30" t="n">
        <x:f>IFERROR(L426/K426,0)</x:f>
        <x:v>0.6263736263736264</x:v>
      </x:c>
      <x:c r="S426" s="28" t="n">
        <x:f>IFERROR(N426/J426,0)</x:f>
        <x:v>1049.601719745223</x:v>
      </x:c>
      <x:c r="T426" s="28" t="n">
        <x:f>IFERROR(N426/K426,0)</x:f>
        <x:v>1810.8513186813186</x:v>
      </x:c>
      <x:c r="U426" s="28" t="n">
        <x:f>IFERROR(N426/L426,0)</x:f>
        <x:v>2891.0082456140353</x:v>
      </x:c>
    </x:row>
    <x:row r="427">
      <x:c r="A427" t="n">
        <x:v>426</x:v>
      </x:c>
      <x:c r="B427" s="26" t="n">
        <x:v>46128</x:v>
      </x:c>
      <x:c r="C427" t="str">
        <x:v>CPO_Salario</x:v>
      </x:c>
      <x:c r="D427" t="str">
        <x:v>BAI Directo/App</x:v>
      </x:c>
      <x:c r="E427" t="str">
        <x:v>Premium</x:v>
      </x:c>
      <x:c r="F427" t="str">
        <x:v>Luanda</x:v>
      </x:c>
      <x:c r="G427" t="str">
        <x:v>Android</x:v>
      </x:c>
      <x:c r="H427" t="n">
        <x:v>9692</x:v>
      </x:c>
      <x:c r="I427" t="n">
        <x:v>799</x:v>
      </x:c>
      <x:c r="J427" t="n">
        <x:v>177</x:v>
      </x:c>
      <x:c r="K427" t="n">
        <x:v>116</x:v>
      </x:c>
      <x:c r="L427" t="n">
        <x:v>70</x:v>
      </x:c>
      <x:c r="M427" s="28" t="n">
        <x:v>356456915.73</x:v>
      </x:c>
      <x:c r="N427" s="28" t="n">
        <x:v>72031.68</x:v>
      </x:c>
      <x:c r="O427" s="30" t="n">
        <x:f>IFERROR(I427/H427,0)</x:f>
        <x:v>0.08243912505158894</x:v>
      </x:c>
      <x:c r="P427" s="30" t="n">
        <x:f>IFERROR(J427/I427,0)</x:f>
        <x:v>0.22152690863579474</x:v>
      </x:c>
      <x:c r="Q427" s="30" t="n">
        <x:f>IFERROR(K427/J427,0)</x:f>
        <x:v>0.655367231638418</x:v>
      </x:c>
      <x:c r="R427" s="30" t="n">
        <x:f>IFERROR(L427/K427,0)</x:f>
        <x:v>0.603448275862069</x:v>
      </x:c>
      <x:c r="S427" s="28" t="n">
        <x:f>IFERROR(N427/J427,0)</x:f>
        <x:v>406.95864406779657</x:v>
      </x:c>
      <x:c r="T427" s="28" t="n">
        <x:f>IFERROR(N427/K427,0)</x:f>
        <x:v>620.9627586206896</x:v>
      </x:c>
      <x:c r="U427" s="28" t="n">
        <x:f>IFERROR(N427/L427,0)</x:f>
        <x:v>1029.024</x:v>
      </x:c>
    </x:row>
    <x:row r="428">
      <x:c r="A428" t="n">
        <x:v>427</x:v>
      </x:c>
      <x:c r="B428" s="26" t="n">
        <x:v>46129</x:v>
      </x:c>
      <x:c r="C428" t="str">
        <x:v>CPO_Salario</x:v>
      </x:c>
      <x:c r="D428" t="str">
        <x:v>SMS</x:v>
      </x:c>
      <x:c r="E428" t="str">
        <x:v>Assalariado</x:v>
      </x:c>
      <x:c r="F428" t="str">
        <x:v>Luanda</x:v>
      </x:c>
      <x:c r="G428" t="str">
        <x:v>Desktop</x:v>
      </x:c>
      <x:c r="H428" t="n">
        <x:v>9960</x:v>
      </x:c>
      <x:c r="I428" t="n">
        <x:v>807</x:v>
      </x:c>
      <x:c r="J428" t="n">
        <x:v>121</x:v>
      </x:c>
      <x:c r="K428" t="n">
        <x:v>83</x:v>
      </x:c>
      <x:c r="L428" t="n">
        <x:v>73</x:v>
      </x:c>
      <x:c r="M428" s="28" t="n">
        <x:v>161090875.85</x:v>
      </x:c>
      <x:c r="N428" s="28" t="n">
        <x:v>128545.53</x:v>
      </x:c>
      <x:c r="O428" s="30" t="n">
        <x:f>IFERROR(I428/H428,0)</x:f>
        <x:v>0.08102409638554217</x:v>
      </x:c>
      <x:c r="P428" s="30" t="n">
        <x:f>IFERROR(J428/I428,0)</x:f>
        <x:v>0.14993804213135067</x:v>
      </x:c>
      <x:c r="Q428" s="30" t="n">
        <x:f>IFERROR(K428/J428,0)</x:f>
        <x:v>0.6859504132231405</x:v>
      </x:c>
      <x:c r="R428" s="30" t="n">
        <x:f>IFERROR(L428/K428,0)</x:f>
        <x:v>0.8795180722891566</x:v>
      </x:c>
      <x:c r="S428" s="28" t="n">
        <x:f>IFERROR(N428/J428,0)</x:f>
        <x:v>1062.3597520661158</x:v>
      </x:c>
      <x:c r="T428" s="28" t="n">
        <x:f>IFERROR(N428/K428,0)</x:f>
        <x:v>1548.7413253012048</x:v>
      </x:c>
      <x:c r="U428" s="28" t="n">
        <x:f>IFERROR(N428/L428,0)</x:f>
        <x:v>1760.8976712328767</x:v>
      </x:c>
    </x:row>
    <x:row r="429">
      <x:c r="A429" t="n">
        <x:v>428</x:v>
      </x:c>
      <x:c r="B429" s="26" t="n">
        <x:v>46129</x:v>
      </x:c>
      <x:c r="C429" t="str">
        <x:v>CPO_Fim_do_Mes</x:v>
      </x:c>
      <x:c r="D429" t="str">
        <x:v>SMS</x:v>
      </x:c>
      <x:c r="E429" t="str">
        <x:v>Pequeno Negócio</x:v>
      </x:c>
      <x:c r="F429" t="str">
        <x:v>Luanda</x:v>
      </x:c>
      <x:c r="G429" t="str">
        <x:v>Android</x:v>
      </x:c>
      <x:c r="H429" t="n">
        <x:v>7924</x:v>
      </x:c>
      <x:c r="I429" t="n">
        <x:v>757</x:v>
      </x:c>
      <x:c r="J429" t="n">
        <x:v>107</x:v>
      </x:c>
      <x:c r="K429" t="n">
        <x:v>55</x:v>
      </x:c>
      <x:c r="L429" t="n">
        <x:v>32</x:v>
      </x:c>
      <x:c r="M429" s="28" t="n">
        <x:v>92068861.9</x:v>
      </x:c>
      <x:c r="N429" s="28" t="n">
        <x:v>69544.58</x:v>
      </x:c>
      <x:c r="O429" s="30" t="n">
        <x:f>IFERROR(I429/H429,0)</x:f>
        <x:v>0.09553255931347804</x:v>
      </x:c>
      <x:c r="P429" s="30" t="n">
        <x:f>IFERROR(J429/I429,0)</x:f>
        <x:v>0.14134742404227213</x:v>
      </x:c>
      <x:c r="Q429" s="30" t="n">
        <x:f>IFERROR(K429/J429,0)</x:f>
        <x:v>0.514018691588785</x:v>
      </x:c>
      <x:c r="R429" s="30" t="n">
        <x:f>IFERROR(L429/K429,0)</x:f>
        <x:v>0.5818181818181818</x:v>
      </x:c>
      <x:c r="S429" s="28" t="n">
        <x:f>IFERROR(N429/J429,0)</x:f>
        <x:v>649.9493457943926</x:v>
      </x:c>
      <x:c r="T429" s="28" t="n">
        <x:f>IFERROR(N429/K429,0)</x:f>
        <x:v>1264.4469090909092</x:v>
      </x:c>
      <x:c r="U429" s="28" t="n">
        <x:f>IFERROR(N429/L429,0)</x:f>
        <x:v>2173.268125</x:v>
      </x:c>
    </x:row>
    <x:row r="430">
      <x:c r="A430" t="n">
        <x:v>429</x:v>
      </x:c>
      <x:c r="B430" s="26" t="n">
        <x:v>46129</x:v>
      </x:c>
      <x:c r="C430" t="str">
        <x:v>CPO_Always_On</x:v>
      </x:c>
      <x:c r="D430" t="str">
        <x:v>Google Ads</x:v>
      </x:c>
      <x:c r="E430" t="str">
        <x:v>Assalariado</x:v>
      </x:c>
      <x:c r="F430" t="str">
        <x:v>Luanda</x:v>
      </x:c>
      <x:c r="G430" t="str">
        <x:v>iOS</x:v>
      </x:c>
      <x:c r="H430" t="n">
        <x:v>20569</x:v>
      </x:c>
      <x:c r="I430" t="n">
        <x:v>475</x:v>
      </x:c>
      <x:c r="J430" t="n">
        <x:v>80</x:v>
      </x:c>
      <x:c r="K430" t="n">
        <x:v>56</x:v>
      </x:c>
      <x:c r="L430" t="n">
        <x:v>36</x:v>
      </x:c>
      <x:c r="M430" s="28" t="n">
        <x:v>80619364.23</x:v>
      </x:c>
      <x:c r="N430" s="28" t="n">
        <x:v>25014.43</x:v>
      </x:c>
      <x:c r="O430" s="30" t="n">
        <x:f>IFERROR(I430/H430,0)</x:f>
        <x:v>0.0230930040351986</x:v>
      </x:c>
      <x:c r="P430" s="30" t="n">
        <x:f>IFERROR(J430/I430,0)</x:f>
        <x:v>0.16842105263157894</x:v>
      </x:c>
      <x:c r="Q430" s="30" t="n">
        <x:f>IFERROR(K430/J430,0)</x:f>
        <x:v>0.7</x:v>
      </x:c>
      <x:c r="R430" s="30" t="n">
        <x:f>IFERROR(L430/K430,0)</x:f>
        <x:v>0.6428571428571429</x:v>
      </x:c>
      <x:c r="S430" s="28" t="n">
        <x:f>IFERROR(N430/J430,0)</x:f>
        <x:v>312.680375</x:v>
      </x:c>
      <x:c r="T430" s="28" t="n">
        <x:f>IFERROR(N430/K430,0)</x:f>
        <x:v>446.68625000000003</x:v>
      </x:c>
      <x:c r="U430" s="28" t="n">
        <x:f>IFERROR(N430/L430,0)</x:f>
        <x:v>694.8452777777778</x:v>
      </x:c>
    </x:row>
    <x:row r="431">
      <x:c r="A431" t="n">
        <x:v>430</x:v>
      </x:c>
      <x:c r="B431" s="26" t="n">
        <x:v>46129</x:v>
      </x:c>
      <x:c r="C431" t="str">
        <x:v>CPO_Premium</x:v>
      </x:c>
      <x:c r="D431" t="str">
        <x:v>Google Ads</x:v>
      </x:c>
      <x:c r="E431" t="str">
        <x:v>Jovem Profissional</x:v>
      </x:c>
      <x:c r="F431" t="str">
        <x:v>Cuanza Sul</x:v>
      </x:c>
      <x:c r="G431" t="str">
        <x:v>Android</x:v>
      </x:c>
      <x:c r="H431" t="n">
        <x:v>8320</x:v>
      </x:c>
      <x:c r="I431" t="n">
        <x:v>296</x:v>
      </x:c>
      <x:c r="J431" t="n">
        <x:v>28</x:v>
      </x:c>
      <x:c r="K431" t="n">
        <x:v>15</x:v>
      </x:c>
      <x:c r="L431" t="n">
        <x:v>6</x:v>
      </x:c>
      <x:c r="M431" s="28" t="n">
        <x:v>7362095.17</x:v>
      </x:c>
      <x:c r="N431" s="28" t="n">
        <x:v>35497.2</x:v>
      </x:c>
      <x:c r="O431" s="30" t="n">
        <x:f>IFERROR(I431/H431,0)</x:f>
        <x:v>0.035576923076923075</x:v>
      </x:c>
      <x:c r="P431" s="30" t="n">
        <x:f>IFERROR(J431/I431,0)</x:f>
        <x:v>0.0945945945945946</x:v>
      </x:c>
      <x:c r="Q431" s="30" t="n">
        <x:f>IFERROR(K431/J431,0)</x:f>
        <x:v>0.5357142857142857</x:v>
      </x:c>
      <x:c r="R431" s="30" t="n">
        <x:f>IFERROR(L431/K431,0)</x:f>
        <x:v>0.4</x:v>
      </x:c>
      <x:c r="S431" s="28" t="n">
        <x:f>IFERROR(N431/J431,0)</x:f>
        <x:v>1267.7571428571428</x:v>
      </x:c>
      <x:c r="T431" s="28" t="n">
        <x:f>IFERROR(N431/K431,0)</x:f>
        <x:v>2366.48</x:v>
      </x:c>
      <x:c r="U431" s="28" t="n">
        <x:f>IFERROR(N431/L431,0)</x:f>
        <x:v>5916.2</x:v>
      </x:c>
    </x:row>
    <x:row r="432">
      <x:c r="A432" t="n">
        <x:v>431</x:v>
      </x:c>
      <x:c r="B432" s="26" t="n">
        <x:v>46130</x:v>
      </x:c>
      <x:c r="C432" t="str">
        <x:v>CPO_Salario</x:v>
      </x:c>
      <x:c r="D432" t="str">
        <x:v>BAI Directo/App</x:v>
      </x:c>
      <x:c r="E432" t="str">
        <x:v>Premium</x:v>
      </x:c>
      <x:c r="F432" t="str">
        <x:v>Huambo</x:v>
      </x:c>
      <x:c r="G432" t="str">
        <x:v>Android</x:v>
      </x:c>
      <x:c r="H432" t="n">
        <x:v>7776</x:v>
      </x:c>
      <x:c r="I432" t="n">
        <x:v>516</x:v>
      </x:c>
      <x:c r="J432" t="n">
        <x:v>150</x:v>
      </x:c>
      <x:c r="K432" t="n">
        <x:v>121</x:v>
      </x:c>
      <x:c r="L432" t="n">
        <x:v>68</x:v>
      </x:c>
      <x:c r="M432" s="28" t="n">
        <x:v>344148009.55</x:v>
      </x:c>
      <x:c r="N432" s="28" t="n">
        <x:v>41258.96</x:v>
      </x:c>
      <x:c r="O432" s="30" t="n">
        <x:f>IFERROR(I432/H432,0)</x:f>
        <x:v>0.06635802469135803</x:v>
      </x:c>
      <x:c r="P432" s="30" t="n">
        <x:f>IFERROR(J432/I432,0)</x:f>
        <x:v>0.29069767441860467</x:v>
      </x:c>
      <x:c r="Q432" s="30" t="n">
        <x:f>IFERROR(K432/J432,0)</x:f>
        <x:v>0.8066666666666666</x:v>
      </x:c>
      <x:c r="R432" s="30" t="n">
        <x:f>IFERROR(L432/K432,0)</x:f>
        <x:v>0.5619834710743802</x:v>
      </x:c>
      <x:c r="S432" s="28" t="n">
        <x:f>IFERROR(N432/J432,0)</x:f>
        <x:v>275.0597333333333</x:v>
      </x:c>
      <x:c r="T432" s="28" t="n">
        <x:f>IFERROR(N432/K432,0)</x:f>
        <x:v>340.98314049586776</x:v>
      </x:c>
      <x:c r="U432" s="28" t="n">
        <x:f>IFERROR(N432/L432,0)</x:f>
        <x:v>606.7494117647059</x:v>
      </x:c>
    </x:row>
    <x:row r="433">
      <x:c r="A433" t="n">
        <x:v>432</x:v>
      </x:c>
      <x:c r="B433" s="26" t="n">
        <x:v>46130</x:v>
      </x:c>
      <x:c r="C433" t="str">
        <x:v>CPO_Acesso_Rapido</x:v>
      </x:c>
      <x:c r="D433" t="str">
        <x:v>E-mail</x:v>
      </x:c>
      <x:c r="E433" t="str">
        <x:v>Pequeno Negócio</x:v>
      </x:c>
      <x:c r="F433" t="str">
        <x:v>Luanda</x:v>
      </x:c>
      <x:c r="G433" t="str">
        <x:v>iOS</x:v>
      </x:c>
      <x:c r="H433" t="n">
        <x:v>8572</x:v>
      </x:c>
      <x:c r="I433" t="n">
        <x:v>492</x:v>
      </x:c>
      <x:c r="J433" t="n">
        <x:v>54</x:v>
      </x:c>
      <x:c r="K433" t="n">
        <x:v>22</x:v>
      </x:c>
      <x:c r="L433" t="n">
        <x:v>13</x:v>
      </x:c>
      <x:c r="M433" s="28" t="n">
        <x:v>35760331.13</x:v>
      </x:c>
      <x:c r="N433" s="28" t="n">
        <x:v>83294.72</x:v>
      </x:c>
      <x:c r="O433" s="30" t="n">
        <x:f>IFERROR(I433/H433,0)</x:f>
        <x:v>0.05739617358842744</x:v>
      </x:c>
      <x:c r="P433" s="30" t="n">
        <x:f>IFERROR(J433/I433,0)</x:f>
        <x:v>0.10975609756097561</x:v>
      </x:c>
      <x:c r="Q433" s="30" t="n">
        <x:f>IFERROR(K433/J433,0)</x:f>
        <x:v>0.4074074074074074</x:v>
      </x:c>
      <x:c r="R433" s="30" t="n">
        <x:f>IFERROR(L433/K433,0)</x:f>
        <x:v>0.5909090909090909</x:v>
      </x:c>
      <x:c r="S433" s="28" t="n">
        <x:f>IFERROR(N433/J433,0)</x:f>
        <x:v>1542.4948148148148</x:v>
      </x:c>
      <x:c r="T433" s="28" t="n">
        <x:f>IFERROR(N433/K433,0)</x:f>
        <x:v>3786.1236363636363</x:v>
      </x:c>
      <x:c r="U433" s="28" t="n">
        <x:f>IFERROR(N433/L433,0)</x:f>
        <x:v>6407.286153846154</x:v>
      </x:c>
    </x:row>
    <x:row r="434">
      <x:c r="A434" t="n">
        <x:v>433</x:v>
      </x:c>
      <x:c r="B434" s="26" t="n">
        <x:v>46130</x:v>
      </x:c>
      <x:c r="C434" t="str">
        <x:v>CPO_Digital_360</x:v>
      </x:c>
      <x:c r="D434" t="str">
        <x:v>E-mail</x:v>
      </x:c>
      <x:c r="E434" t="str">
        <x:v>Pequeno Negócio</x:v>
      </x:c>
      <x:c r="F434" t="str">
        <x:v>Luanda</x:v>
      </x:c>
      <x:c r="G434" t="str">
        <x:v>iOS</x:v>
      </x:c>
      <x:c r="H434" t="n">
        <x:v>5808</x:v>
      </x:c>
      <x:c r="I434" t="n">
        <x:v>395</x:v>
      </x:c>
      <x:c r="J434" t="n">
        <x:v>36</x:v>
      </x:c>
      <x:c r="K434" t="n">
        <x:v>10</x:v>
      </x:c>
      <x:c r="L434" t="n">
        <x:v>4</x:v>
      </x:c>
      <x:c r="M434" s="28" t="n">
        <x:v>13036582.14</x:v>
      </x:c>
      <x:c r="N434" s="28" t="n">
        <x:v>72363.79</x:v>
      </x:c>
      <x:c r="O434" s="30" t="n">
        <x:f>IFERROR(I434/H434,0)</x:f>
        <x:v>0.06800964187327824</x:v>
      </x:c>
      <x:c r="P434" s="30" t="n">
        <x:f>IFERROR(J434/I434,0)</x:f>
        <x:v>0.09113924050632911</x:v>
      </x:c>
      <x:c r="Q434" s="30" t="n">
        <x:f>IFERROR(K434/J434,0)</x:f>
        <x:v>0.2777777777777778</x:v>
      </x:c>
      <x:c r="R434" s="30" t="n">
        <x:f>IFERROR(L434/K434,0)</x:f>
        <x:v>0.4</x:v>
      </x:c>
      <x:c r="S434" s="28" t="n">
        <x:f>IFERROR(N434/J434,0)</x:f>
        <x:v>2010.1052777777777</x:v>
      </x:c>
      <x:c r="T434" s="28" t="n">
        <x:f>IFERROR(N434/K434,0)</x:f>
        <x:v>7236.378999999999</x:v>
      </x:c>
      <x:c r="U434" s="28" t="n">
        <x:f>IFERROR(N434/L434,0)</x:f>
        <x:v>18090.9475</x:v>
      </x:c>
    </x:row>
    <x:row r="435">
      <x:c r="A435" t="n">
        <x:v>434</x:v>
      </x:c>
      <x:c r="B435" s="26" t="n">
        <x:v>46131</x:v>
      </x:c>
      <x:c r="C435" t="str">
        <x:v>CPO_Acesso_Rapido</x:v>
      </x:c>
      <x:c r="D435" t="str">
        <x:v>SMS</x:v>
      </x:c>
      <x:c r="E435" t="str">
        <x:v>Jovem Profissional</x:v>
      </x:c>
      <x:c r="F435" t="str">
        <x:v>Benguela</x:v>
      </x:c>
      <x:c r="G435" t="str">
        <x:v>Android</x:v>
      </x:c>
      <x:c r="H435" t="n">
        <x:v>8199</x:v>
      </x:c>
      <x:c r="I435" t="n">
        <x:v>839</x:v>
      </x:c>
      <x:c r="J435" t="n">
        <x:v>68</x:v>
      </x:c>
      <x:c r="K435" t="n">
        <x:v>35</x:v>
      </x:c>
      <x:c r="L435" t="n">
        <x:v>17</x:v>
      </x:c>
      <x:c r="M435" s="28" t="n">
        <x:v>26195659.52</x:v>
      </x:c>
      <x:c r="N435" s="28" t="n">
        <x:v>53322.73</x:v>
      </x:c>
      <x:c r="O435" s="30" t="n">
        <x:f>IFERROR(I435/H435,0)</x:f>
        <x:v>0.10232955238443713</x:v>
      </x:c>
      <x:c r="P435" s="30" t="n">
        <x:f>IFERROR(J435/I435,0)</x:f>
        <x:v>0.08104886769964244</x:v>
      </x:c>
      <x:c r="Q435" s="30" t="n">
        <x:f>IFERROR(K435/J435,0)</x:f>
        <x:v>0.5147058823529411</x:v>
      </x:c>
      <x:c r="R435" s="30" t="n">
        <x:f>IFERROR(L435/K435,0)</x:f>
        <x:v>0.4857142857142857</x:v>
      </x:c>
      <x:c r="S435" s="28" t="n">
        <x:f>IFERROR(N435/J435,0)</x:f>
        <x:v>784.1577941176471</x:v>
      </x:c>
      <x:c r="T435" s="28" t="n">
        <x:f>IFERROR(N435/K435,0)</x:f>
        <x:v>1523.5065714285715</x:v>
      </x:c>
      <x:c r="U435" s="28" t="n">
        <x:f>IFERROR(N435/L435,0)</x:f>
        <x:v>3136.6311764705883</x:v>
      </x:c>
    </x:row>
    <x:row r="436">
      <x:c r="A436" t="n">
        <x:v>435</x:v>
      </x:c>
      <x:c r="B436" s="26" t="n">
        <x:v>46131</x:v>
      </x:c>
      <x:c r="C436" t="str">
        <x:v>CPO_Premium</x:v>
      </x:c>
      <x:c r="D436" t="str">
        <x:v>Meta Ads</x:v>
      </x:c>
      <x:c r="E436" t="str">
        <x:v>Assalariado</x:v>
      </x:c>
      <x:c r="F436" t="str">
        <x:v>Benguela</x:v>
      </x:c>
      <x:c r="G436" t="str">
        <x:v>Android</x:v>
      </x:c>
      <x:c r="H436" t="n">
        <x:v>5604</x:v>
      </x:c>
      <x:c r="I436" t="n">
        <x:v>106</x:v>
      </x:c>
      <x:c r="J436" t="n">
        <x:v>9</x:v>
      </x:c>
      <x:c r="K436" t="n">
        <x:v>6</x:v>
      </x:c>
      <x:c r="L436" t="n">
        <x:v>5</x:v>
      </x:c>
      <x:c r="M436" s="28" t="n">
        <x:v>10909621.12</x:v>
      </x:c>
      <x:c r="N436" s="28" t="n">
        <x:v>7492.76</x:v>
      </x:c>
      <x:c r="O436" s="30" t="n">
        <x:f>IFERROR(I436/H436,0)</x:f>
        <x:v>0.01891506067094932</x:v>
      </x:c>
      <x:c r="P436" s="30" t="n">
        <x:f>IFERROR(J436/I436,0)</x:f>
        <x:v>0.08490566037735849</x:v>
      </x:c>
      <x:c r="Q436" s="30" t="n">
        <x:f>IFERROR(K436/J436,0)</x:f>
        <x:v>0.6666666666666666</x:v>
      </x:c>
      <x:c r="R436" s="30" t="n">
        <x:f>IFERROR(L436/K436,0)</x:f>
        <x:v>0.8333333333333334</x:v>
      </x:c>
      <x:c r="S436" s="28" t="n">
        <x:f>IFERROR(N436/J436,0)</x:f>
        <x:v>832.5288888888889</x:v>
      </x:c>
      <x:c r="T436" s="28" t="n">
        <x:f>IFERROR(N436/K436,0)</x:f>
        <x:v>1248.7933333333333</x:v>
      </x:c>
      <x:c r="U436" s="28" t="n">
        <x:f>IFERROR(N436/L436,0)</x:f>
        <x:v>1498.5520000000001</x:v>
      </x:c>
    </x:row>
    <x:row r="437">
      <x:c r="A437" t="n">
        <x:v>436</x:v>
      </x:c>
      <x:c r="B437" s="26" t="n">
        <x:v>46131</x:v>
      </x:c>
      <x:c r="C437" t="str">
        <x:v>CPO_Salario</x:v>
      </x:c>
      <x:c r="D437" t="str">
        <x:v>BAI Directo/App</x:v>
      </x:c>
      <x:c r="E437" t="str">
        <x:v>Assalariado</x:v>
      </x:c>
      <x:c r="F437" t="str">
        <x:v>Luanda</x:v>
      </x:c>
      <x:c r="G437" t="str">
        <x:v>iOS</x:v>
      </x:c>
      <x:c r="H437" t="n">
        <x:v>6063</x:v>
      </x:c>
      <x:c r="I437" t="n">
        <x:v>807</x:v>
      </x:c>
      <x:c r="J437" t="n">
        <x:v>105</x:v>
      </x:c>
      <x:c r="K437" t="n">
        <x:v>70</x:v>
      </x:c>
      <x:c r="L437" t="n">
        <x:v>44</x:v>
      </x:c>
      <x:c r="M437" s="28" t="n">
        <x:v>97238964.64</x:v>
      </x:c>
      <x:c r="N437" s="28" t="n">
        <x:v>53900.41</x:v>
      </x:c>
      <x:c r="O437" s="30" t="n">
        <x:f>IFERROR(I437/H437,0)</x:f>
        <x:v>0.13310242454230578</x:v>
      </x:c>
      <x:c r="P437" s="30" t="n">
        <x:f>IFERROR(J437/I437,0)</x:f>
        <x:v>0.13011152416356878</x:v>
      </x:c>
      <x:c r="Q437" s="30" t="n">
        <x:f>IFERROR(K437/J437,0)</x:f>
        <x:v>0.6666666666666666</x:v>
      </x:c>
      <x:c r="R437" s="30" t="n">
        <x:f>IFERROR(L437/K437,0)</x:f>
        <x:v>0.6285714285714286</x:v>
      </x:c>
      <x:c r="S437" s="28" t="n">
        <x:f>IFERROR(N437/J437,0)</x:f>
        <x:v>513.3372380952381</x:v>
      </x:c>
      <x:c r="T437" s="28" t="n">
        <x:f>IFERROR(N437/K437,0)</x:f>
        <x:v>770.0058571428572</x:v>
      </x:c>
      <x:c r="U437" s="28" t="n">
        <x:f>IFERROR(N437/L437,0)</x:f>
        <x:v>1225.0093181818183</x:v>
      </x:c>
    </x:row>
    <x:row r="438">
      <x:c r="A438" t="n">
        <x:v>437</x:v>
      </x:c>
      <x:c r="B438" s="26" t="n">
        <x:v>46131</x:v>
      </x:c>
      <x:c r="C438" t="str">
        <x:v>CPO_Always_On</x:v>
      </x:c>
      <x:c r="D438" t="str">
        <x:v>BAI Directo/App</x:v>
      </x:c>
      <x:c r="E438" t="str">
        <x:v>Pequeno Negócio</x:v>
      </x:c>
      <x:c r="F438" t="str">
        <x:v>Luanda</x:v>
      </x:c>
      <x:c r="G438" t="str">
        <x:v>Android</x:v>
      </x:c>
      <x:c r="H438" t="n">
        <x:v>1099</x:v>
      </x:c>
      <x:c r="I438" t="n">
        <x:v>137</x:v>
      </x:c>
      <x:c r="J438" t="n">
        <x:v>39</x:v>
      </x:c>
      <x:c r="K438" t="n">
        <x:v>19</x:v>
      </x:c>
      <x:c r="L438" t="n">
        <x:v>10</x:v>
      </x:c>
      <x:c r="M438" s="28" t="n">
        <x:v>28205241.01</x:v>
      </x:c>
      <x:c r="N438" s="28" t="n">
        <x:v>4843.21</x:v>
      </x:c>
      <x:c r="O438" s="30" t="n">
        <x:f>IFERROR(I438/H438,0)</x:f>
        <x:v>0.12465878070973613</x:v>
      </x:c>
      <x:c r="P438" s="30" t="n">
        <x:f>IFERROR(J438/I438,0)</x:f>
        <x:v>0.2846715328467153</x:v>
      </x:c>
      <x:c r="Q438" s="30" t="n">
        <x:f>IFERROR(K438/J438,0)</x:f>
        <x:v>0.48717948717948717</x:v>
      </x:c>
      <x:c r="R438" s="30" t="n">
        <x:f>IFERROR(L438/K438,0)</x:f>
        <x:v>0.5263157894736842</x:v>
      </x:c>
      <x:c r="S438" s="28" t="n">
        <x:f>IFERROR(N438/J438,0)</x:f>
        <x:v>124.1848717948718</x:v>
      </x:c>
      <x:c r="T438" s="28" t="n">
        <x:f>IFERROR(N438/K438,0)</x:f>
        <x:v>254.90578947368422</x:v>
      </x:c>
      <x:c r="U438" s="28" t="n">
        <x:f>IFERROR(N438/L438,0)</x:f>
        <x:v>484.321</x:v>
      </x:c>
    </x:row>
    <x:row r="439">
      <x:c r="A439" t="n">
        <x:v>438</x:v>
      </x:c>
      <x:c r="B439" s="26" t="n">
        <x:v>46132</x:v>
      </x:c>
      <x:c r="C439" t="str">
        <x:v>CPO_Salario</x:v>
      </x:c>
      <x:c r="D439" t="str">
        <x:v>BAI Directo/App</x:v>
      </x:c>
      <x:c r="E439" t="str">
        <x:v>Premium</x:v>
      </x:c>
      <x:c r="F439" t="str">
        <x:v>Uíge</x:v>
      </x:c>
      <x:c r="G439" t="str">
        <x:v>Android</x:v>
      </x:c>
      <x:c r="H439" t="n">
        <x:v>9836</x:v>
      </x:c>
      <x:c r="I439" t="n">
        <x:v>827</x:v>
      </x:c>
      <x:c r="J439" t="n">
        <x:v>215</x:v>
      </x:c>
      <x:c r="K439" t="n">
        <x:v>158</x:v>
      </x:c>
      <x:c r="L439" t="n">
        <x:v>134</x:v>
      </x:c>
      <x:c r="M439" s="28" t="n">
        <x:v>687993936.48</x:v>
      </x:c>
      <x:c r="N439" s="28" t="n">
        <x:v>143527.29</x:v>
      </x:c>
      <x:c r="O439" s="30" t="n">
        <x:f>IFERROR(I439/H439,0)</x:f>
        <x:v>0.08407889385929239</x:v>
      </x:c>
      <x:c r="P439" s="30" t="n">
        <x:f>IFERROR(J439/I439,0)</x:f>
        <x:v>0.2599758162031439</x:v>
      </x:c>
      <x:c r="Q439" s="30" t="n">
        <x:f>IFERROR(K439/J439,0)</x:f>
        <x:v>0.7348837209302326</x:v>
      </x:c>
      <x:c r="R439" s="30" t="n">
        <x:f>IFERROR(L439/K439,0)</x:f>
        <x:v>0.8481012658227848</x:v>
      </x:c>
      <x:c r="S439" s="28" t="n">
        <x:f>IFERROR(N439/J439,0)</x:f>
        <x:v>667.5687906976744</x:v>
      </x:c>
      <x:c r="T439" s="28" t="n">
        <x:f>IFERROR(N439/K439,0)</x:f>
        <x:v>908.4005696202532</x:v>
      </x:c>
      <x:c r="U439" s="28" t="n">
        <x:f>IFERROR(N439/L439,0)</x:f>
        <x:v>1071.0991791044776</x:v>
      </x:c>
    </x:row>
    <x:row r="440">
      <x:c r="A440" t="n">
        <x:v>439</x:v>
      </x:c>
      <x:c r="B440" s="26" t="n">
        <x:v>46132</x:v>
      </x:c>
      <x:c r="C440" t="str">
        <x:v>CPO_Fim_do_Mes</x:v>
      </x:c>
      <x:c r="D440" t="str">
        <x:v>E-mail</x:v>
      </x:c>
      <x:c r="E440" t="str">
        <x:v>Funcionário Público</x:v>
      </x:c>
      <x:c r="F440" t="str">
        <x:v>Luanda</x:v>
      </x:c>
      <x:c r="G440" t="str">
        <x:v>Android</x:v>
      </x:c>
      <x:c r="H440" t="n">
        <x:v>9921</x:v>
      </x:c>
      <x:c r="I440" t="n">
        <x:v>685</x:v>
      </x:c>
      <x:c r="J440" t="n">
        <x:v>77</x:v>
      </x:c>
      <x:c r="K440" t="n">
        <x:v>50</x:v>
      </x:c>
      <x:c r="L440" t="n">
        <x:v>42</x:v>
      </x:c>
      <x:c r="M440" s="28" t="n">
        <x:v>72993169.57</x:v>
      </x:c>
      <x:c r="N440" s="28" t="n">
        <x:v>71246.84</x:v>
      </x:c>
      <x:c r="O440" s="30" t="n">
        <x:f>IFERROR(I440/H440,0)</x:f>
        <x:v>0.06904545912710412</x:v>
      </x:c>
      <x:c r="P440" s="30" t="n">
        <x:f>IFERROR(J440/I440,0)</x:f>
        <x:v>0.11240875912408758</x:v>
      </x:c>
      <x:c r="Q440" s="30" t="n">
        <x:f>IFERROR(K440/J440,0)</x:f>
        <x:v>0.6493506493506493</x:v>
      </x:c>
      <x:c r="R440" s="30" t="n">
        <x:f>IFERROR(L440/K440,0)</x:f>
        <x:v>0.84</x:v>
      </x:c>
      <x:c r="S440" s="28" t="n">
        <x:f>IFERROR(N440/J440,0)</x:f>
        <x:v>925.2836363636363</x:v>
      </x:c>
      <x:c r="T440" s="28" t="n">
        <x:f>IFERROR(N440/K440,0)</x:f>
        <x:v>1424.9368</x:v>
      </x:c>
      <x:c r="U440" s="28" t="n">
        <x:f>IFERROR(N440/L440,0)</x:f>
        <x:v>1696.3533333333332</x:v>
      </x:c>
    </x:row>
    <x:row r="441">
      <x:c r="A441" t="n">
        <x:v>440</x:v>
      </x:c>
      <x:c r="B441" s="26" t="n">
        <x:v>46132</x:v>
      </x:c>
      <x:c r="C441" t="str">
        <x:v>CPO_Always_On</x:v>
      </x:c>
      <x:c r="D441" t="str">
        <x:v>Google Ads</x:v>
      </x:c>
      <x:c r="E441" t="str">
        <x:v>Jovem Profissional</x:v>
      </x:c>
      <x:c r="F441" t="str">
        <x:v>Uíge</x:v>
      </x:c>
      <x:c r="G441" t="str">
        <x:v>Desktop</x:v>
      </x:c>
      <x:c r="H441" t="n">
        <x:v>6094</x:v>
      </x:c>
      <x:c r="I441" t="n">
        <x:v>292</x:v>
      </x:c>
      <x:c r="J441" t="n">
        <x:v>56</x:v>
      </x:c>
      <x:c r="K441" t="n">
        <x:v>35</x:v>
      </x:c>
      <x:c r="L441" t="n">
        <x:v>19</x:v>
      </x:c>
      <x:c r="M441" s="28" t="n">
        <x:v>23135295</x:v>
      </x:c>
      <x:c r="N441" s="28" t="n">
        <x:v>51182.96</x:v>
      </x:c>
      <x:c r="O441" s="30" t="n">
        <x:f>IFERROR(I441/H441,0)</x:f>
        <x:v>0.04791598293403348</x:v>
      </x:c>
      <x:c r="P441" s="30" t="n">
        <x:f>IFERROR(J441/I441,0)</x:f>
        <x:v>0.1917808219178082</x:v>
      </x:c>
      <x:c r="Q441" s="30" t="n">
        <x:f>IFERROR(K441/J441,0)</x:f>
        <x:v>0.625</x:v>
      </x:c>
      <x:c r="R441" s="30" t="n">
        <x:f>IFERROR(L441/K441,0)</x:f>
        <x:v>0.5428571428571428</x:v>
      </x:c>
      <x:c r="S441" s="28" t="n">
        <x:f>IFERROR(N441/J441,0)</x:f>
        <x:v>913.9814285714285</x:v>
      </x:c>
      <x:c r="T441" s="28" t="n">
        <x:f>IFERROR(N441/K441,0)</x:f>
        <x:v>1462.3702857142857</x:v>
      </x:c>
      <x:c r="U441" s="28" t="n">
        <x:f>IFERROR(N441/L441,0)</x:f>
        <x:v>2693.84</x:v>
      </x:c>
    </x:row>
    <x:row r="442">
      <x:c r="A442" t="n">
        <x:v>441</x:v>
      </x:c>
      <x:c r="B442" s="26" t="n">
        <x:v>46133</x:v>
      </x:c>
      <x:c r="C442" t="str">
        <x:v>CPO_Premium</x:v>
      </x:c>
      <x:c r="D442" t="str">
        <x:v>E-mail</x:v>
      </x:c>
      <x:c r="E442" t="str">
        <x:v>Assalariado</x:v>
      </x:c>
      <x:c r="F442" t="str">
        <x:v>Luanda</x:v>
      </x:c>
      <x:c r="G442" t="str">
        <x:v>Desktop</x:v>
      </x:c>
      <x:c r="H442" t="n">
        <x:v>5052</x:v>
      </x:c>
      <x:c r="I442" t="n">
        <x:v>307</x:v>
      </x:c>
      <x:c r="J442" t="n">
        <x:v>30</x:v>
      </x:c>
      <x:c r="K442" t="n">
        <x:v>20</x:v>
      </x:c>
      <x:c r="L442" t="n">
        <x:v>14</x:v>
      </x:c>
      <x:c r="M442" s="28" t="n">
        <x:v>28546095.71</x:v>
      </x:c>
      <x:c r="N442" s="28" t="n">
        <x:v>66886.17</x:v>
      </x:c>
      <x:c r="O442" s="30" t="n">
        <x:f>IFERROR(I442/H442,0)</x:f>
        <x:v>0.060768012668250194</x:v>
      </x:c>
      <x:c r="P442" s="30" t="n">
        <x:f>IFERROR(J442/I442,0)</x:f>
        <x:v>0.09771986970684039</x:v>
      </x:c>
      <x:c r="Q442" s="30" t="n">
        <x:f>IFERROR(K442/J442,0)</x:f>
        <x:v>0.6666666666666666</x:v>
      </x:c>
      <x:c r="R442" s="30" t="n">
        <x:f>IFERROR(L442/K442,0)</x:f>
        <x:v>0.7</x:v>
      </x:c>
      <x:c r="S442" s="28" t="n">
        <x:f>IFERROR(N442/J442,0)</x:f>
        <x:v>2229.5389999999998</x:v>
      </x:c>
      <x:c r="T442" s="28" t="n">
        <x:f>IFERROR(N442/K442,0)</x:f>
        <x:v>3344.3085</x:v>
      </x:c>
      <x:c r="U442" s="28" t="n">
        <x:f>IFERROR(N442/L442,0)</x:f>
        <x:v>4777.583571428571</x:v>
      </x:c>
    </x:row>
    <x:row r="443">
      <x:c r="A443" t="n">
        <x:v>442</x:v>
      </x:c>
      <x:c r="B443" s="26" t="n">
        <x:v>46133</x:v>
      </x:c>
      <x:c r="C443" t="str">
        <x:v>CPO_Fim_do_Mes</x:v>
      </x:c>
      <x:c r="D443" t="str">
        <x:v>BAI Directo/App</x:v>
      </x:c>
      <x:c r="E443" t="str">
        <x:v>Assalariado</x:v>
      </x:c>
      <x:c r="F443" t="str">
        <x:v>Benguela</x:v>
      </x:c>
      <x:c r="G443" t="str">
        <x:v>Android</x:v>
      </x:c>
      <x:c r="H443" t="n">
        <x:v>1569</x:v>
      </x:c>
      <x:c r="I443" t="n">
        <x:v>172</x:v>
      </x:c>
      <x:c r="J443" t="n">
        <x:v>39</x:v>
      </x:c>
      <x:c r="K443" t="n">
        <x:v>25</x:v>
      </x:c>
      <x:c r="L443" t="n">
        <x:v>17</x:v>
      </x:c>
      <x:c r="M443" s="28" t="n">
        <x:v>40485835.87</x:v>
      </x:c>
      <x:c r="N443" s="28" t="n">
        <x:v>17820.23</x:v>
      </x:c>
      <x:c r="O443" s="30" t="n">
        <x:f>IFERROR(I443/H443,0)</x:f>
        <x:v>0.10962396430847673</x:v>
      </x:c>
      <x:c r="P443" s="30" t="n">
        <x:f>IFERROR(J443/I443,0)</x:f>
        <x:v>0.22674418604651161</x:v>
      </x:c>
      <x:c r="Q443" s="30" t="n">
        <x:f>IFERROR(K443/J443,0)</x:f>
        <x:v>0.6410256410256411</x:v>
      </x:c>
      <x:c r="R443" s="30" t="n">
        <x:f>IFERROR(L443/K443,0)</x:f>
        <x:v>0.68</x:v>
      </x:c>
      <x:c r="S443" s="28" t="n">
        <x:f>IFERROR(N443/J443,0)</x:f>
        <x:v>456.92897435897436</x:v>
      </x:c>
      <x:c r="T443" s="28" t="n">
        <x:f>IFERROR(N443/K443,0)</x:f>
        <x:v>712.8092</x:v>
      </x:c>
      <x:c r="U443" s="28" t="n">
        <x:f>IFERROR(N443/L443,0)</x:f>
        <x:v>1048.2488235294118</x:v>
      </x:c>
    </x:row>
    <x:row r="444">
      <x:c r="A444" t="n">
        <x:v>443</x:v>
      </x:c>
      <x:c r="B444" s="26" t="n">
        <x:v>46133</x:v>
      </x:c>
      <x:c r="C444" t="str">
        <x:v>CPO_Premium</x:v>
      </x:c>
      <x:c r="D444" t="str">
        <x:v>TikTok Ads</x:v>
      </x:c>
      <x:c r="E444" t="str">
        <x:v>Funcionário Público</x:v>
      </x:c>
      <x:c r="F444" t="str">
        <x:v>Cuanza Sul</x:v>
      </x:c>
      <x:c r="G444" t="str">
        <x:v>Desktop</x:v>
      </x:c>
      <x:c r="H444" t="n">
        <x:v>27178</x:v>
      </x:c>
      <x:c r="I444" t="n">
        <x:v>426</x:v>
      </x:c>
      <x:c r="J444" t="n">
        <x:v>33</x:v>
      </x:c>
      <x:c r="K444" t="n">
        <x:v>23</x:v>
      </x:c>
      <x:c r="L444" t="n">
        <x:v>18</x:v>
      </x:c>
      <x:c r="M444" s="28" t="n">
        <x:v>32960191.61</x:v>
      </x:c>
      <x:c r="N444" s="28" t="n">
        <x:v>37843.12</x:v>
      </x:c>
      <x:c r="O444" s="30" t="n">
        <x:f>IFERROR(I444/H444,0)</x:f>
        <x:v>0.0156744425638384</x:v>
      </x:c>
      <x:c r="P444" s="30" t="n">
        <x:f>IFERROR(J444/I444,0)</x:f>
        <x:v>0.07746478873239436</x:v>
      </x:c>
      <x:c r="Q444" s="30" t="n">
        <x:f>IFERROR(K444/J444,0)</x:f>
        <x:v>0.696969696969697</x:v>
      </x:c>
      <x:c r="R444" s="30" t="n">
        <x:f>IFERROR(L444/K444,0)</x:f>
        <x:v>0.782608695652174</x:v>
      </x:c>
      <x:c r="S444" s="28" t="n">
        <x:f>IFERROR(N444/J444,0)</x:f>
        <x:v>1146.761212121212</x:v>
      </x:c>
      <x:c r="T444" s="28" t="n">
        <x:f>IFERROR(N444/K444,0)</x:f>
        <x:v>1645.353043478261</x:v>
      </x:c>
      <x:c r="U444" s="28" t="n">
        <x:f>IFERROR(N444/L444,0)</x:f>
        <x:v>2102.395555555556</x:v>
      </x:c>
    </x:row>
    <x:row r="445">
      <x:c r="A445" t="n">
        <x:v>444</x:v>
      </x:c>
      <x:c r="B445" s="26" t="n">
        <x:v>46134</x:v>
      </x:c>
      <x:c r="C445" t="str">
        <x:v>CPO_Salario</x:v>
      </x:c>
      <x:c r="D445" t="str">
        <x:v>SMS</x:v>
      </x:c>
      <x:c r="E445" t="str">
        <x:v>Jovem Profissional</x:v>
      </x:c>
      <x:c r="F445" t="str">
        <x:v>Benguela</x:v>
      </x:c>
      <x:c r="G445" t="str">
        <x:v>Android</x:v>
      </x:c>
      <x:c r="H445" t="n">
        <x:v>7213</x:v>
      </x:c>
      <x:c r="I445" t="n">
        <x:v>798</x:v>
      </x:c>
      <x:c r="J445" t="n">
        <x:v>133</x:v>
      </x:c>
      <x:c r="K445" t="n">
        <x:v>78</x:v>
      </x:c>
      <x:c r="L445" t="n">
        <x:v>48</x:v>
      </x:c>
      <x:c r="M445" s="28" t="n">
        <x:v>61021957.49</x:v>
      </x:c>
      <x:c r="N445" s="28" t="n">
        <x:v>111922.73</x:v>
      </x:c>
      <x:c r="O445" s="30" t="n">
        <x:f>IFERROR(I445/H445,0)</x:f>
        <x:v>0.11063357826147234</x:v>
      </x:c>
      <x:c r="P445" s="30" t="n">
        <x:f>IFERROR(J445/I445,0)</x:f>
        <x:v>0.16666666666666666</x:v>
      </x:c>
      <x:c r="Q445" s="30" t="n">
        <x:f>IFERROR(K445/J445,0)</x:f>
        <x:v>0.5864661654135338</x:v>
      </x:c>
      <x:c r="R445" s="30" t="n">
        <x:f>IFERROR(L445/K445,0)</x:f>
        <x:v>0.6153846153846154</x:v>
      </x:c>
      <x:c r="S445" s="28" t="n">
        <x:f>IFERROR(N445/J445,0)</x:f>
        <x:v>841.5242857142857</x:v>
      </x:c>
      <x:c r="T445" s="28" t="n">
        <x:f>IFERROR(N445/K445,0)</x:f>
        <x:v>1434.9067948717948</x:v>
      </x:c>
      <x:c r="U445" s="28" t="n">
        <x:f>IFERROR(N445/L445,0)</x:f>
        <x:v>2331.7235416666667</x:v>
      </x:c>
    </x:row>
    <x:row r="446">
      <x:c r="A446" t="n">
        <x:v>445</x:v>
      </x:c>
      <x:c r="B446" s="26" t="n">
        <x:v>46134</x:v>
      </x:c>
      <x:c r="C446" t="str">
        <x:v>CPO_Always_On</x:v>
      </x:c>
      <x:c r="D446" t="str">
        <x:v>BAI Directo/App</x:v>
      </x:c>
      <x:c r="E446" t="str">
        <x:v>Pequeno Negócio</x:v>
      </x:c>
      <x:c r="F446" t="str">
        <x:v>Benguela</x:v>
      </x:c>
      <x:c r="G446" t="str">
        <x:v>Android</x:v>
      </x:c>
      <x:c r="H446" t="n">
        <x:v>5275</x:v>
      </x:c>
      <x:c r="I446" t="n">
        <x:v>482</x:v>
      </x:c>
      <x:c r="J446" t="n">
        <x:v>116</x:v>
      </x:c>
      <x:c r="K446" t="n">
        <x:v>49</x:v>
      </x:c>
      <x:c r="L446" t="n">
        <x:v>14</x:v>
      </x:c>
      <x:c r="M446" s="28" t="n">
        <x:v>33159696.2</x:v>
      </x:c>
      <x:c r="N446" s="28" t="n">
        <x:v>45158.13</x:v>
      </x:c>
      <x:c r="O446" s="30" t="n">
        <x:f>IFERROR(I446/H446,0)</x:f>
        <x:v>0.09137440758293838</x:v>
      </x:c>
      <x:c r="P446" s="30" t="n">
        <x:f>IFERROR(J446/I446,0)</x:f>
        <x:v>0.24066390041493776</x:v>
      </x:c>
      <x:c r="Q446" s="30" t="n">
        <x:f>IFERROR(K446/J446,0)</x:f>
        <x:v>0.4224137931034483</x:v>
      </x:c>
      <x:c r="R446" s="30" t="n">
        <x:f>IFERROR(L446/K446,0)</x:f>
        <x:v>0.2857142857142857</x:v>
      </x:c>
      <x:c r="S446" s="28" t="n">
        <x:f>IFERROR(N446/J446,0)</x:f>
        <x:v>389.294224137931</x:v>
      </x:c>
      <x:c r="T446" s="28" t="n">
        <x:f>IFERROR(N446/K446,0)</x:f>
        <x:v>921.5944897959183</x:v>
      </x:c>
      <x:c r="U446" s="28" t="n">
        <x:f>IFERROR(N446/L446,0)</x:f>
        <x:v>3225.5807142857143</x:v>
      </x:c>
    </x:row>
    <x:row r="447">
      <x:c r="A447" t="n">
        <x:v>446</x:v>
      </x:c>
      <x:c r="B447" s="26" t="n">
        <x:v>46134</x:v>
      </x:c>
      <x:c r="C447" t="str">
        <x:v>CPO_Fim_do_Mes</x:v>
      </x:c>
      <x:c r="D447" t="str">
        <x:v>SMS</x:v>
      </x:c>
      <x:c r="E447" t="str">
        <x:v>Premium</x:v>
      </x:c>
      <x:c r="F447" t="str">
        <x:v>Luanda</x:v>
      </x:c>
      <x:c r="G447" t="str">
        <x:v>Desktop</x:v>
      </x:c>
      <x:c r="H447" t="n">
        <x:v>9137</x:v>
      </x:c>
      <x:c r="I447" t="n">
        <x:v>548</x:v>
      </x:c>
      <x:c r="J447" t="n">
        <x:v>87</x:v>
      </x:c>
      <x:c r="K447" t="n">
        <x:v>51</x:v>
      </x:c>
      <x:c r="L447" t="n">
        <x:v>43</x:v>
      </x:c>
      <x:c r="M447" s="28" t="n">
        <x:v>255058564.24</x:v>
      </x:c>
      <x:c r="N447" s="28" t="n">
        <x:v>138369.8</x:v>
      </x:c>
      <x:c r="O447" s="30" t="n">
        <x:f>IFERROR(I447/H447,0)</x:f>
        <x:v>0.059975922075079346</x:v>
      </x:c>
      <x:c r="P447" s="30" t="n">
        <x:f>IFERROR(J447/I447,0)</x:f>
        <x:v>0.15875912408759124</x:v>
      </x:c>
      <x:c r="Q447" s="30" t="n">
        <x:f>IFERROR(K447/J447,0)</x:f>
        <x:v>0.5862068965517241</x:v>
      </x:c>
      <x:c r="R447" s="30" t="n">
        <x:f>IFERROR(L447/K447,0)</x:f>
        <x:v>0.8431372549019608</x:v>
      </x:c>
      <x:c r="S447" s="28" t="n">
        <x:f>IFERROR(N447/J447,0)</x:f>
        <x:v>1590.4574712643678</x:v>
      </x:c>
      <x:c r="T447" s="28" t="n">
        <x:f>IFERROR(N447/K447,0)</x:f>
        <x:v>2713.133333333333</x:v>
      </x:c>
      <x:c r="U447" s="28" t="n">
        <x:f>IFERROR(N447/L447,0)</x:f>
        <x:v>3217.902325581395</x:v>
      </x:c>
    </x:row>
    <x:row r="448">
      <x:c r="A448" t="n">
        <x:v>447</x:v>
      </x:c>
      <x:c r="B448" s="26" t="n">
        <x:v>46134</x:v>
      </x:c>
      <x:c r="C448" t="str">
        <x:v>CPO_Premium</x:v>
      </x:c>
      <x:c r="D448" t="str">
        <x:v>SMS</x:v>
      </x:c>
      <x:c r="E448" t="str">
        <x:v>Pequeno Negócio</x:v>
      </x:c>
      <x:c r="F448" t="str">
        <x:v>Luanda</x:v>
      </x:c>
      <x:c r="G448" t="str">
        <x:v>iOS</x:v>
      </x:c>
      <x:c r="H448" t="n">
        <x:v>4602</x:v>
      </x:c>
      <x:c r="I448" t="n">
        <x:v>352</x:v>
      </x:c>
      <x:c r="J448" t="n">
        <x:v>60</x:v>
      </x:c>
      <x:c r="K448" t="n">
        <x:v>32</x:v>
      </x:c>
      <x:c r="L448" t="n">
        <x:v>16</x:v>
      </x:c>
      <x:c r="M448" s="28" t="n">
        <x:v>44988199.72</x:v>
      </x:c>
      <x:c r="N448" s="28" t="n">
        <x:v>64827.76</x:v>
      </x:c>
      <x:c r="O448" s="30" t="n">
        <x:f>IFERROR(I448/H448,0)</x:f>
        <x:v>0.07648848326814428</x:v>
      </x:c>
      <x:c r="P448" s="30" t="n">
        <x:f>IFERROR(J448/I448,0)</x:f>
        <x:v>0.17045454545454544</x:v>
      </x:c>
      <x:c r="Q448" s="30" t="n">
        <x:f>IFERROR(K448/J448,0)</x:f>
        <x:v>0.5333333333333333</x:v>
      </x:c>
      <x:c r="R448" s="30" t="n">
        <x:f>IFERROR(L448/K448,0)</x:f>
        <x:v>0.5</x:v>
      </x:c>
      <x:c r="S448" s="28" t="n">
        <x:f>IFERROR(N448/J448,0)</x:f>
        <x:v>1080.4626666666668</x:v>
      </x:c>
      <x:c r="T448" s="28" t="n">
        <x:f>IFERROR(N448/K448,0)</x:f>
        <x:v>2025.8675</x:v>
      </x:c>
      <x:c r="U448" s="28" t="n">
        <x:f>IFERROR(N448/L448,0)</x:f>
        <x:v>4051.735</x:v>
      </x:c>
    </x:row>
    <x:row r="449">
      <x:c r="A449" t="n">
        <x:v>448</x:v>
      </x:c>
      <x:c r="B449" s="26" t="n">
        <x:v>46134</x:v>
      </x:c>
      <x:c r="C449" t="str">
        <x:v>CPO_Premium</x:v>
      </x:c>
      <x:c r="D449" t="str">
        <x:v>Google Ads</x:v>
      </x:c>
      <x:c r="E449" t="str">
        <x:v>Funcionário Público</x:v>
      </x:c>
      <x:c r="F449" t="str">
        <x:v>Uíge</x:v>
      </x:c>
      <x:c r="G449" t="str">
        <x:v>Android</x:v>
      </x:c>
      <x:c r="H449" t="n">
        <x:v>11011</x:v>
      </x:c>
      <x:c r="I449" t="n">
        <x:v>241</x:v>
      </x:c>
      <x:c r="J449" t="n">
        <x:v>37</x:v>
      </x:c>
      <x:c r="K449" t="n">
        <x:v>30</x:v>
      </x:c>
      <x:c r="L449" t="n">
        <x:v>23</x:v>
      </x:c>
      <x:c r="M449" s="28" t="n">
        <x:v>45222271.23</x:v>
      </x:c>
      <x:c r="N449" s="28" t="n">
        <x:v>43169.14</x:v>
      </x:c>
      <x:c r="O449" s="30" t="n">
        <x:f>IFERROR(I449/H449,0)</x:f>
        <x:v>0.021887203705385525</x:v>
      </x:c>
      <x:c r="P449" s="30" t="n">
        <x:f>IFERROR(J449/I449,0)</x:f>
        <x:v>0.15352697095435686</x:v>
      </x:c>
      <x:c r="Q449" s="30" t="n">
        <x:f>IFERROR(K449/J449,0)</x:f>
        <x:v>0.8108108108108109</x:v>
      </x:c>
      <x:c r="R449" s="30" t="n">
        <x:f>IFERROR(L449/K449,0)</x:f>
        <x:v>0.7666666666666667</x:v>
      </x:c>
      <x:c r="S449" s="28" t="n">
        <x:f>IFERROR(N449/J449,0)</x:f>
        <x:v>1166.7335135135136</x:v>
      </x:c>
      <x:c r="T449" s="28" t="n">
        <x:f>IFERROR(N449/K449,0)</x:f>
        <x:v>1438.9713333333334</x:v>
      </x:c>
      <x:c r="U449" s="28" t="n">
        <x:f>IFERROR(N449/L449,0)</x:f>
        <x:v>1876.9191304347826</x:v>
      </x:c>
    </x:row>
    <x:row r="450">
      <x:c r="A450" t="n">
        <x:v>449</x:v>
      </x:c>
      <x:c r="B450" s="26" t="n">
        <x:v>46135</x:v>
      </x:c>
      <x:c r="C450" t="str">
        <x:v>CPO_Fim_do_Mes</x:v>
      </x:c>
      <x:c r="D450" t="str">
        <x:v>BAI Directo/App</x:v>
      </x:c>
      <x:c r="E450" t="str">
        <x:v>Premium</x:v>
      </x:c>
      <x:c r="F450" t="str">
        <x:v>Cuanza Sul</x:v>
      </x:c>
      <x:c r="G450" t="str">
        <x:v>iOS</x:v>
      </x:c>
      <x:c r="H450" t="n">
        <x:v>1930</x:v>
      </x:c>
      <x:c r="I450" t="n">
        <x:v>321</x:v>
      </x:c>
      <x:c r="J450" t="n">
        <x:v>72</x:v>
      </x:c>
      <x:c r="K450" t="n">
        <x:v>50</x:v>
      </x:c>
      <x:c r="L450" t="n">
        <x:v>43</x:v>
      </x:c>
      <x:c r="M450" s="28" t="n">
        <x:v>206850838.49</x:v>
      </x:c>
      <x:c r="N450" s="28" t="n">
        <x:v>10084.98</x:v>
      </x:c>
      <x:c r="O450" s="30" t="n">
        <x:f>IFERROR(I450/H450,0)</x:f>
        <x:v>0.16632124352331606</x:v>
      </x:c>
      <x:c r="P450" s="30" t="n">
        <x:f>IFERROR(J450/I450,0)</x:f>
        <x:v>0.22429906542056074</x:v>
      </x:c>
      <x:c r="Q450" s="30" t="n">
        <x:f>IFERROR(K450/J450,0)</x:f>
        <x:v>0.6944444444444444</x:v>
      </x:c>
      <x:c r="R450" s="30" t="n">
        <x:f>IFERROR(L450/K450,0)</x:f>
        <x:v>0.86</x:v>
      </x:c>
      <x:c r="S450" s="28" t="n">
        <x:f>IFERROR(N450/J450,0)</x:f>
        <x:v>140.06916666666666</x:v>
      </x:c>
      <x:c r="T450" s="28" t="n">
        <x:f>IFERROR(N450/K450,0)</x:f>
        <x:v>201.6996</x:v>
      </x:c>
      <x:c r="U450" s="28" t="n">
        <x:f>IFERROR(N450/L450,0)</x:f>
        <x:v>234.53441860465117</x:v>
      </x:c>
    </x:row>
    <x:row r="451">
      <x:c r="A451" t="n">
        <x:v>450</x:v>
      </x:c>
      <x:c r="B451" s="26" t="n">
        <x:v>46135</x:v>
      </x:c>
      <x:c r="C451" t="str">
        <x:v>CPO_Fim_do_Mes</x:v>
      </x:c>
      <x:c r="D451" t="str">
        <x:v>Google Ads</x:v>
      </x:c>
      <x:c r="E451" t="str">
        <x:v>Funcionário Público</x:v>
      </x:c>
      <x:c r="F451" t="str">
        <x:v>Luanda</x:v>
      </x:c>
      <x:c r="G451" t="str">
        <x:v>Android</x:v>
      </x:c>
      <x:c r="H451" t="n">
        <x:v>22271</x:v>
      </x:c>
      <x:c r="I451" t="n">
        <x:v>387</x:v>
      </x:c>
      <x:c r="J451" t="n">
        <x:v>61</x:v>
      </x:c>
      <x:c r="K451" t="n">
        <x:v>43</x:v>
      </x:c>
      <x:c r="L451" t="n">
        <x:v>27</x:v>
      </x:c>
      <x:c r="M451" s="28" t="n">
        <x:v>49884396.54</x:v>
      </x:c>
      <x:c r="N451" s="28" t="n">
        <x:v>53598.3</x:v>
      </x:c>
      <x:c r="O451" s="30" t="n">
        <x:f>IFERROR(I451/H451,0)</x:f>
        <x:v>0.017376857797135287</x:v>
      </x:c>
      <x:c r="P451" s="30" t="n">
        <x:f>IFERROR(J451/I451,0)</x:f>
        <x:v>0.15762273901808785</x:v>
      </x:c>
      <x:c r="Q451" s="30" t="n">
        <x:f>IFERROR(K451/J451,0)</x:f>
        <x:v>0.7049180327868853</x:v>
      </x:c>
      <x:c r="R451" s="30" t="n">
        <x:f>IFERROR(L451/K451,0)</x:f>
        <x:v>0.627906976744186</x:v>
      </x:c>
      <x:c r="S451" s="28" t="n">
        <x:f>IFERROR(N451/J451,0)</x:f>
        <x:v>878.6606557377049</x:v>
      </x:c>
      <x:c r="T451" s="28" t="n">
        <x:f>IFERROR(N451/K451,0)</x:f>
        <x:v>1246.4720930232559</x:v>
      </x:c>
      <x:c r="U451" s="28" t="n">
        <x:f>IFERROR(N451/L451,0)</x:f>
        <x:v>1985.1222222222223</x:v>
      </x:c>
    </x:row>
    <x:row r="452">
      <x:c r="A452" t="n">
        <x:v>451</x:v>
      </x:c>
      <x:c r="B452" s="26" t="n">
        <x:v>46135</x:v>
      </x:c>
      <x:c r="C452" t="str">
        <x:v>CPO_Fim_do_Mes</x:v>
      </x:c>
      <x:c r="D452" t="str">
        <x:v>E-mail</x:v>
      </x:c>
      <x:c r="E452" t="str">
        <x:v>Jovem Profissional</x:v>
      </x:c>
      <x:c r="F452" t="str">
        <x:v>Uíge</x:v>
      </x:c>
      <x:c r="G452" t="str">
        <x:v>Android</x:v>
      </x:c>
      <x:c r="H452" t="n">
        <x:v>11256</x:v>
      </x:c>
      <x:c r="I452" t="n">
        <x:v>826</x:v>
      </x:c>
      <x:c r="J452" t="n">
        <x:v>77</x:v>
      </x:c>
      <x:c r="K452" t="n">
        <x:v>48</x:v>
      </x:c>
      <x:c r="L452" t="n">
        <x:v>26</x:v>
      </x:c>
      <x:c r="M452" s="28" t="n">
        <x:v>36258534.5</x:v>
      </x:c>
      <x:c r="N452" s="28" t="n">
        <x:v>59817.14</x:v>
      </x:c>
      <x:c r="O452" s="30" t="n">
        <x:f>IFERROR(I452/H452,0)</x:f>
        <x:v>0.07338308457711443</x:v>
      </x:c>
      <x:c r="P452" s="30" t="n">
        <x:f>IFERROR(J452/I452,0)</x:f>
        <x:v>0.09322033898305085</x:v>
      </x:c>
      <x:c r="Q452" s="30" t="n">
        <x:f>IFERROR(K452/J452,0)</x:f>
        <x:v>0.6233766233766234</x:v>
      </x:c>
      <x:c r="R452" s="30" t="n">
        <x:f>IFERROR(L452/K452,0)</x:f>
        <x:v>0.5416666666666666</x:v>
      </x:c>
      <x:c r="S452" s="28" t="n">
        <x:f>IFERROR(N452/J452,0)</x:f>
        <x:v>776.845974025974</x:v>
      </x:c>
      <x:c r="T452" s="28" t="n">
        <x:f>IFERROR(N452/K452,0)</x:f>
        <x:v>1246.1904166666666</x:v>
      </x:c>
      <x:c r="U452" s="28" t="n">
        <x:f>IFERROR(N452/L452,0)</x:f>
        <x:v>2300.659230769231</x:v>
      </x:c>
    </x:row>
    <x:row r="453">
      <x:c r="A453" t="n">
        <x:v>452</x:v>
      </x:c>
      <x:c r="B453" s="26" t="n">
        <x:v>46135</x:v>
      </x:c>
      <x:c r="C453" t="str">
        <x:v>CPO_Premium</x:v>
      </x:c>
      <x:c r="D453" t="str">
        <x:v>BAI Directo/App</x:v>
      </x:c>
      <x:c r="E453" t="str">
        <x:v>Jovem Profissional</x:v>
      </x:c>
      <x:c r="F453" t="str">
        <x:v>Luanda</x:v>
      </x:c>
      <x:c r="G453" t="str">
        <x:v>Desktop</x:v>
      </x:c>
      <x:c r="H453" t="n">
        <x:v>1836</x:v>
      </x:c>
      <x:c r="I453" t="n">
        <x:v>143</x:v>
      </x:c>
      <x:c r="J453" t="n">
        <x:v>37</x:v>
      </x:c>
      <x:c r="K453" t="n">
        <x:v>14</x:v>
      </x:c>
      <x:c r="L453" t="n">
        <x:v>5</x:v>
      </x:c>
      <x:c r="M453" s="28" t="n">
        <x:v>7892979.89</x:v>
      </x:c>
      <x:c r="N453" s="28" t="n">
        <x:v>18693.83</x:v>
      </x:c>
      <x:c r="O453" s="30" t="n">
        <x:f>IFERROR(I453/H453,0)</x:f>
        <x:v>0.07788671023965142</x:v>
      </x:c>
      <x:c r="P453" s="30" t="n">
        <x:f>IFERROR(J453/I453,0)</x:f>
        <x:v>0.25874125874125875</x:v>
      </x:c>
      <x:c r="Q453" s="30" t="n">
        <x:f>IFERROR(K453/J453,0)</x:f>
        <x:v>0.3783783783783784</x:v>
      </x:c>
      <x:c r="R453" s="30" t="n">
        <x:f>IFERROR(L453/K453,0)</x:f>
        <x:v>0.35714285714285715</x:v>
      </x:c>
      <x:c r="S453" s="28" t="n">
        <x:f>IFERROR(N453/J453,0)</x:f>
        <x:v>505.2386486486487</x:v>
      </x:c>
      <x:c r="T453" s="28" t="n">
        <x:f>IFERROR(N453/K453,0)</x:f>
        <x:v>1335.2735714285716</x:v>
      </x:c>
      <x:c r="U453" s="28" t="n">
        <x:f>IFERROR(N453/L453,0)</x:f>
        <x:v>3738.7660000000005</x:v>
      </x:c>
    </x:row>
    <x:row r="454">
      <x:c r="A454" t="n">
        <x:v>453</x:v>
      </x:c>
      <x:c r="B454" s="26" t="n">
        <x:v>46135</x:v>
      </x:c>
      <x:c r="C454" t="str">
        <x:v>CPO_Acesso_Rapido</x:v>
      </x:c>
      <x:c r="D454" t="str">
        <x:v>Google Ads</x:v>
      </x:c>
      <x:c r="E454" t="str">
        <x:v>Assalariado</x:v>
      </x:c>
      <x:c r="F454" t="str">
        <x:v>Cuanza Sul</x:v>
      </x:c>
      <x:c r="G454" t="str">
        <x:v>Android</x:v>
      </x:c>
      <x:c r="H454" t="n">
        <x:v>11398</x:v>
      </x:c>
      <x:c r="I454" t="n">
        <x:v>271</x:v>
      </x:c>
      <x:c r="J454" t="n">
        <x:v>32</x:v>
      </x:c>
      <x:c r="K454" t="n">
        <x:v>24</x:v>
      </x:c>
      <x:c r="L454" t="n">
        <x:v>15</x:v>
      </x:c>
      <x:c r="M454" s="28" t="n">
        <x:v>34610182.6</x:v>
      </x:c>
      <x:c r="N454" s="28" t="n">
        <x:v>23465.74</x:v>
      </x:c>
      <x:c r="O454" s="30" t="n">
        <x:f>IFERROR(I454/H454,0)</x:f>
        <x:v>0.023776101070363223</x:v>
      </x:c>
      <x:c r="P454" s="30" t="n">
        <x:f>IFERROR(J454/I454,0)</x:f>
        <x:v>0.11808118081180811</x:v>
      </x:c>
      <x:c r="Q454" s="30" t="n">
        <x:f>IFERROR(K454/J454,0)</x:f>
        <x:v>0.75</x:v>
      </x:c>
      <x:c r="R454" s="30" t="n">
        <x:f>IFERROR(L454/K454,0)</x:f>
        <x:v>0.625</x:v>
      </x:c>
      <x:c r="S454" s="28" t="n">
        <x:f>IFERROR(N454/J454,0)</x:f>
        <x:v>733.304375</x:v>
      </x:c>
      <x:c r="T454" s="28" t="n">
        <x:f>IFERROR(N454/K454,0)</x:f>
        <x:v>977.7391666666667</x:v>
      </x:c>
      <x:c r="U454" s="28" t="n">
        <x:f>IFERROR(N454/L454,0)</x:f>
        <x:v>1564.3826666666669</x:v>
      </x:c>
    </x:row>
    <x:row r="455">
      <x:c r="A455" t="n">
        <x:v>454</x:v>
      </x:c>
      <x:c r="B455" s="26" t="n">
        <x:v>46136</x:v>
      </x:c>
      <x:c r="C455" t="str">
        <x:v>CPO_Digital_360</x:v>
      </x:c>
      <x:c r="D455" t="str">
        <x:v>Google Ads</x:v>
      </x:c>
      <x:c r="E455" t="str">
        <x:v>Pequeno Negócio</x:v>
      </x:c>
      <x:c r="F455" t="str">
        <x:v>Cuanza Sul</x:v>
      </x:c>
      <x:c r="G455" t="str">
        <x:v>Android</x:v>
      </x:c>
      <x:c r="H455" t="n">
        <x:v>15152</x:v>
      </x:c>
      <x:c r="I455" t="n">
        <x:v>624</x:v>
      </x:c>
      <x:c r="J455" t="n">
        <x:v>111</x:v>
      </x:c>
      <x:c r="K455" t="n">
        <x:v>49</x:v>
      </x:c>
      <x:c r="L455" t="n">
        <x:v>23</x:v>
      </x:c>
      <x:c r="M455" s="28" t="n">
        <x:v>67125324.19</x:v>
      </x:c>
      <x:c r="N455" s="28" t="n">
        <x:v>28127.77</x:v>
      </x:c>
      <x:c r="O455" s="30" t="n">
        <x:f>IFERROR(I455/H455,0)</x:f>
        <x:v>0.04118268215417107</x:v>
      </x:c>
      <x:c r="P455" s="30" t="n">
        <x:f>IFERROR(J455/I455,0)</x:f>
        <x:v>0.1778846153846154</x:v>
      </x:c>
      <x:c r="Q455" s="30" t="n">
        <x:f>IFERROR(K455/J455,0)</x:f>
        <x:v>0.44144144144144143</x:v>
      </x:c>
      <x:c r="R455" s="30" t="n">
        <x:f>IFERROR(L455/K455,0)</x:f>
        <x:v>0.46938775510204084</x:v>
      </x:c>
      <x:c r="S455" s="28" t="n">
        <x:f>IFERROR(N455/J455,0)</x:f>
        <x:v>253.40333333333334</x:v>
      </x:c>
      <x:c r="T455" s="28" t="n">
        <x:f>IFERROR(N455/K455,0)</x:f>
        <x:v>574.0361224489797</x:v>
      </x:c>
      <x:c r="U455" s="28" t="n">
        <x:f>IFERROR(N455/L455,0)</x:f>
        <x:v>1222.9465217391305</x:v>
      </x:c>
    </x:row>
    <x:row r="456">
      <x:c r="A456" t="n">
        <x:v>455</x:v>
      </x:c>
      <x:c r="B456" s="26" t="n">
        <x:v>46136</x:v>
      </x:c>
      <x:c r="C456" t="str">
        <x:v>CPO_Salario</x:v>
      </x:c>
      <x:c r="D456" t="str">
        <x:v>Google Ads</x:v>
      </x:c>
      <x:c r="E456" t="str">
        <x:v>Assalariado</x:v>
      </x:c>
      <x:c r="F456" t="str">
        <x:v>Luanda</x:v>
      </x:c>
      <x:c r="G456" t="str">
        <x:v>Android</x:v>
      </x:c>
      <x:c r="H456" t="n">
        <x:v>24345</x:v>
      </x:c>
      <x:c r="I456" t="n">
        <x:v>928</x:v>
      </x:c>
      <x:c r="J456" t="n">
        <x:v>186</x:v>
      </x:c>
      <x:c r="K456" t="n">
        <x:v>128</x:v>
      </x:c>
      <x:c r="L456" t="n">
        <x:v>83</x:v>
      </x:c>
      <x:c r="M456" s="28" t="n">
        <x:v>176729164.5</x:v>
      </x:c>
      <x:c r="N456" s="28" t="n">
        <x:v>46204.01</x:v>
      </x:c>
      <x:c r="O456" s="30" t="n">
        <x:f>IFERROR(I456/H456,0)</x:f>
        <x:v>0.03811871020743479</x:v>
      </x:c>
      <x:c r="P456" s="30" t="n">
        <x:f>IFERROR(J456/I456,0)</x:f>
        <x:v>0.20043103448275862</x:v>
      </x:c>
      <x:c r="Q456" s="30" t="n">
        <x:f>IFERROR(K456/J456,0)</x:f>
        <x:v>0.6881720430107527</x:v>
      </x:c>
      <x:c r="R456" s="30" t="n">
        <x:f>IFERROR(L456/K456,0)</x:f>
        <x:v>0.6484375</x:v>
      </x:c>
      <x:c r="S456" s="28" t="n">
        <x:f>IFERROR(N456/J456,0)</x:f>
        <x:v>248.4086559139785</x:v>
      </x:c>
      <x:c r="T456" s="28" t="n">
        <x:f>IFERROR(N456/K456,0)</x:f>
        <x:v>360.968828125</x:v>
      </x:c>
      <x:c r="U456" s="28" t="n">
        <x:f>IFERROR(N456/L456,0)</x:f>
        <x:v>556.6748192771084</x:v>
      </x:c>
    </x:row>
    <x:row r="457">
      <x:c r="A457" t="n">
        <x:v>456</x:v>
      </x:c>
      <x:c r="B457" s="26" t="n">
        <x:v>46136</x:v>
      </x:c>
      <x:c r="C457" t="str">
        <x:v>CPO_Premium</x:v>
      </x:c>
      <x:c r="D457" t="str">
        <x:v>SMS</x:v>
      </x:c>
      <x:c r="E457" t="str">
        <x:v>Jovem Profissional</x:v>
      </x:c>
      <x:c r="F457" t="str">
        <x:v>Luanda</x:v>
      </x:c>
      <x:c r="G457" t="str">
        <x:v>iOS</x:v>
      </x:c>
      <x:c r="H457" t="n">
        <x:v>4163</x:v>
      </x:c>
      <x:c r="I457" t="n">
        <x:v>478</x:v>
      </x:c>
      <x:c r="J457" t="n">
        <x:v>66</x:v>
      </x:c>
      <x:c r="K457" t="n">
        <x:v>42</x:v>
      </x:c>
      <x:c r="L457" t="n">
        <x:v>23</x:v>
      </x:c>
      <x:c r="M457" s="28" t="n">
        <x:v>28766312.45</x:v>
      </x:c>
      <x:c r="N457" s="28" t="n">
        <x:v>51252.67</x:v>
      </x:c>
      <x:c r="O457" s="30" t="n">
        <x:f>IFERROR(I457/H457,0)</x:f>
        <x:v>0.11482104251741533</x:v>
      </x:c>
      <x:c r="P457" s="30" t="n">
        <x:f>IFERROR(J457/I457,0)</x:f>
        <x:v>0.13807531380753138</x:v>
      </x:c>
      <x:c r="Q457" s="30" t="n">
        <x:f>IFERROR(K457/J457,0)</x:f>
        <x:v>0.6363636363636364</x:v>
      </x:c>
      <x:c r="R457" s="30" t="n">
        <x:f>IFERROR(L457/K457,0)</x:f>
        <x:v>0.5476190476190477</x:v>
      </x:c>
      <x:c r="S457" s="28" t="n">
        <x:f>IFERROR(N457/J457,0)</x:f>
        <x:v>776.555606060606</x:v>
      </x:c>
      <x:c r="T457" s="28" t="n">
        <x:f>IFERROR(N457/K457,0)</x:f>
        <x:v>1220.3016666666667</x:v>
      </x:c>
      <x:c r="U457" s="28" t="n">
        <x:f>IFERROR(N457/L457,0)</x:f>
        <x:v>2228.376956521739</x:v>
      </x:c>
    </x:row>
    <x:row r="458">
      <x:c r="A458" t="n">
        <x:v>457</x:v>
      </x:c>
      <x:c r="B458" s="26" t="n">
        <x:v>46136</x:v>
      </x:c>
      <x:c r="C458" t="str">
        <x:v>CPO_Digital_360</x:v>
      </x:c>
      <x:c r="D458" t="str">
        <x:v>E-mail</x:v>
      </x:c>
      <x:c r="E458" t="str">
        <x:v>Pequeno Negócio</x:v>
      </x:c>
      <x:c r="F458" t="str">
        <x:v>Cabinda</x:v>
      </x:c>
      <x:c r="G458" t="str">
        <x:v>Android</x:v>
      </x:c>
      <x:c r="H458" t="n">
        <x:v>5515</x:v>
      </x:c>
      <x:c r="I458" t="n">
        <x:v>206</x:v>
      </x:c>
      <x:c r="J458" t="n">
        <x:v>17</x:v>
      </x:c>
      <x:c r="K458" t="n">
        <x:v>8</x:v>
      </x:c>
      <x:c r="L458" t="n">
        <x:v>4</x:v>
      </x:c>
      <x:c r="M458" s="28" t="n">
        <x:v>16134887.66</x:v>
      </x:c>
      <x:c r="N458" s="28" t="n">
        <x:v>41973.97</x:v>
      </x:c>
      <x:c r="O458" s="30" t="n">
        <x:f>IFERROR(I458/H458,0)</x:f>
        <x:v>0.03735267452402539</x:v>
      </x:c>
      <x:c r="P458" s="30" t="n">
        <x:f>IFERROR(J458/I458,0)</x:f>
        <x:v>0.0825242718446602</x:v>
      </x:c>
      <x:c r="Q458" s="30" t="n">
        <x:f>IFERROR(K458/J458,0)</x:f>
        <x:v>0.47058823529411764</x:v>
      </x:c>
      <x:c r="R458" s="30" t="n">
        <x:f>IFERROR(L458/K458,0)</x:f>
        <x:v>0.5</x:v>
      </x:c>
      <x:c r="S458" s="28" t="n">
        <x:f>IFERROR(N458/J458,0)</x:f>
        <x:v>2469.0570588235296</x:v>
      </x:c>
      <x:c r="T458" s="28" t="n">
        <x:f>IFERROR(N458/K458,0)</x:f>
        <x:v>5246.74625</x:v>
      </x:c>
      <x:c r="U458" s="28" t="n">
        <x:f>IFERROR(N458/L458,0)</x:f>
        <x:v>10493.4925</x:v>
      </x:c>
    </x:row>
    <x:row r="459">
      <x:c r="A459" t="n">
        <x:v>458</x:v>
      </x:c>
      <x:c r="B459" s="26" t="n">
        <x:v>46137</x:v>
      </x:c>
      <x:c r="C459" t="str">
        <x:v>CPO_Fim_do_Mes</x:v>
      </x:c>
      <x:c r="D459" t="str">
        <x:v>Meta Ads</x:v>
      </x:c>
      <x:c r="E459" t="str">
        <x:v>Premium</x:v>
      </x:c>
      <x:c r="F459" t="str">
        <x:v>Huíla</x:v>
      </x:c>
      <x:c r="G459" t="str">
        <x:v>Android</x:v>
      </x:c>
      <x:c r="H459" t="n">
        <x:v>21803</x:v>
      </x:c>
      <x:c r="I459" t="n">
        <x:v>344</x:v>
      </x:c>
      <x:c r="J459" t="n">
        <x:v>38</x:v>
      </x:c>
      <x:c r="K459" t="n">
        <x:v>31</x:v>
      </x:c>
      <x:c r="L459" t="n">
        <x:v>27</x:v>
      </x:c>
      <x:c r="M459" s="28" t="n">
        <x:v>132776021.26</x:v>
      </x:c>
      <x:c r="N459" s="28" t="n">
        <x:v>63730.83</x:v>
      </x:c>
      <x:c r="O459" s="30" t="n">
        <x:f>IFERROR(I459/H459,0)</x:f>
        <x:v>0.015777645278172728</x:v>
      </x:c>
      <x:c r="P459" s="30" t="n">
        <x:f>IFERROR(J459/I459,0)</x:f>
        <x:v>0.11046511627906977</x:v>
      </x:c>
      <x:c r="Q459" s="30" t="n">
        <x:f>IFERROR(K459/J459,0)</x:f>
        <x:v>0.8157894736842105</x:v>
      </x:c>
      <x:c r="R459" s="30" t="n">
        <x:f>IFERROR(L459/K459,0)</x:f>
        <x:v>0.8709677419354839</x:v>
      </x:c>
      <x:c r="S459" s="28" t="n">
        <x:f>IFERROR(N459/J459,0)</x:f>
        <x:v>1677.127105263158</x:v>
      </x:c>
      <x:c r="T459" s="28" t="n">
        <x:f>IFERROR(N459/K459,0)</x:f>
        <x:v>2055.8332258064515</x:v>
      </x:c>
      <x:c r="U459" s="28" t="n">
        <x:f>IFERROR(N459/L459,0)</x:f>
        <x:v>2360.4011111111113</x:v>
      </x:c>
    </x:row>
    <x:row r="460">
      <x:c r="A460" t="n">
        <x:v>459</x:v>
      </x:c>
      <x:c r="B460" s="26" t="n">
        <x:v>46137</x:v>
      </x:c>
      <x:c r="C460" t="str">
        <x:v>CPO_Acesso_Rapido</x:v>
      </x:c>
      <x:c r="D460" t="str">
        <x:v>E-mail</x:v>
      </x:c>
      <x:c r="E460" t="str">
        <x:v>Funcionário Público</x:v>
      </x:c>
      <x:c r="F460" t="str">
        <x:v>Luanda</x:v>
      </x:c>
      <x:c r="G460" t="str">
        <x:v>iOS</x:v>
      </x:c>
      <x:c r="H460" t="n">
        <x:v>8743</x:v>
      </x:c>
      <x:c r="I460" t="n">
        <x:v>490</x:v>
      </x:c>
      <x:c r="J460" t="n">
        <x:v>39</x:v>
      </x:c>
      <x:c r="K460" t="n">
        <x:v>26</x:v>
      </x:c>
      <x:c r="L460" t="n">
        <x:v>23</x:v>
      </x:c>
      <x:c r="M460" s="28" t="n">
        <x:v>45907826.66</x:v>
      </x:c>
      <x:c r="N460" s="28" t="n">
        <x:v>139508.7</x:v>
      </x:c>
      <x:c r="O460" s="30" t="n">
        <x:f>IFERROR(I460/H460,0)</x:f>
        <x:v>0.05604483586869496</x:v>
      </x:c>
      <x:c r="P460" s="30" t="n">
        <x:f>IFERROR(J460/I460,0)</x:f>
        <x:v>0.07959183673469387</x:v>
      </x:c>
      <x:c r="Q460" s="30" t="n">
        <x:f>IFERROR(K460/J460,0)</x:f>
        <x:v>0.6666666666666666</x:v>
      </x:c>
      <x:c r="R460" s="30" t="n">
        <x:f>IFERROR(L460/K460,0)</x:f>
        <x:v>0.8846153846153846</x:v>
      </x:c>
      <x:c r="S460" s="28" t="n">
        <x:f>IFERROR(N460/J460,0)</x:f>
        <x:v>3577.146153846154</x:v>
      </x:c>
      <x:c r="T460" s="28" t="n">
        <x:f>IFERROR(N460/K460,0)</x:f>
        <x:v>5365.719230769231</x:v>
      </x:c>
      <x:c r="U460" s="28" t="n">
        <x:f>IFERROR(N460/L460,0)</x:f>
        <x:v>6065.595652173914</x:v>
      </x:c>
    </x:row>
    <x:row r="461">
      <x:c r="A461" t="n">
        <x:v>460</x:v>
      </x:c>
      <x:c r="B461" s="26" t="n">
        <x:v>46137</x:v>
      </x:c>
      <x:c r="C461" t="str">
        <x:v>CPO_Fim_do_Mes</x:v>
      </x:c>
      <x:c r="D461" t="str">
        <x:v>TikTok Ads</x:v>
      </x:c>
      <x:c r="E461" t="str">
        <x:v>Funcionário Público</x:v>
      </x:c>
      <x:c r="F461" t="str">
        <x:v>Cuanza Sul</x:v>
      </x:c>
      <x:c r="G461" t="str">
        <x:v>Android</x:v>
      </x:c>
      <x:c r="H461" t="n">
        <x:v>15332</x:v>
      </x:c>
      <x:c r="I461" t="n">
        <x:v>196</x:v>
      </x:c>
      <x:c r="J461" t="n">
        <x:v>17</x:v>
      </x:c>
      <x:c r="K461" t="n">
        <x:v>13</x:v>
      </x:c>
      <x:c r="L461" t="n">
        <x:v>8</x:v>
      </x:c>
      <x:c r="M461" s="28" t="n">
        <x:v>14404396.05</x:v>
      </x:c>
      <x:c r="N461" s="28" t="n">
        <x:v>19065.3</x:v>
      </x:c>
      <x:c r="O461" s="30" t="n">
        <x:f>IFERROR(I461/H461,0)</x:f>
        <x:v>0.012783720323506392</x:v>
      </x:c>
      <x:c r="P461" s="30" t="n">
        <x:f>IFERROR(J461/I461,0)</x:f>
        <x:v>0.08673469387755102</x:v>
      </x:c>
      <x:c r="Q461" s="30" t="n">
        <x:f>IFERROR(K461/J461,0)</x:f>
        <x:v>0.7647058823529411</x:v>
      </x:c>
      <x:c r="R461" s="30" t="n">
        <x:f>IFERROR(L461/K461,0)</x:f>
        <x:v>0.6153846153846154</x:v>
      </x:c>
      <x:c r="S461" s="28" t="n">
        <x:f>IFERROR(N461/J461,0)</x:f>
        <x:v>1121.4882352941177</x:v>
      </x:c>
      <x:c r="T461" s="28" t="n">
        <x:f>IFERROR(N461/K461,0)</x:f>
        <x:v>1466.5615384615385</x:v>
      </x:c>
      <x:c r="U461" s="28" t="n">
        <x:f>IFERROR(N461/L461,0)</x:f>
        <x:v>2383.1625</x:v>
      </x:c>
    </x:row>
    <x:row r="462">
      <x:c r="A462" t="n">
        <x:v>461</x:v>
      </x:c>
      <x:c r="B462" s="26" t="n">
        <x:v>46137</x:v>
      </x:c>
      <x:c r="C462" t="str">
        <x:v>CPO_Premium</x:v>
      </x:c>
      <x:c r="D462" t="str">
        <x:v>TikTok Ads</x:v>
      </x:c>
      <x:c r="E462" t="str">
        <x:v>Jovem Profissional</x:v>
      </x:c>
      <x:c r="F462" t="str">
        <x:v>Luanda</x:v>
      </x:c>
      <x:c r="G462" t="str">
        <x:v>Android</x:v>
      </x:c>
      <x:c r="H462" t="n">
        <x:v>9751</x:v>
      </x:c>
      <x:c r="I462" t="n">
        <x:v>138</x:v>
      </x:c>
      <x:c r="J462" t="n">
        <x:v>12</x:v>
      </x:c>
      <x:c r="K462" t="n">
        <x:v>7</x:v>
      </x:c>
      <x:c r="L462" t="n">
        <x:v>3</x:v>
      </x:c>
      <x:c r="M462" s="28" t="n">
        <x:v>3826461.91</x:v>
      </x:c>
      <x:c r="N462" s="28" t="n">
        <x:v>9883.18</x:v>
      </x:c>
      <x:c r="O462" s="30" t="n">
        <x:f>IFERROR(I462/H462,0)</x:f>
        <x:v>0.014152394626192185</x:v>
      </x:c>
      <x:c r="P462" s="30" t="n">
        <x:f>IFERROR(J462/I462,0)</x:f>
        <x:v>0.08695652173913043</x:v>
      </x:c>
      <x:c r="Q462" s="30" t="n">
        <x:f>IFERROR(K462/J462,0)</x:f>
        <x:v>0.5833333333333334</x:v>
      </x:c>
      <x:c r="R462" s="30" t="n">
        <x:f>IFERROR(L462/K462,0)</x:f>
        <x:v>0.42857142857142855</x:v>
      </x:c>
      <x:c r="S462" s="28" t="n">
        <x:f>IFERROR(N462/J462,0)</x:f>
        <x:v>823.5983333333334</x:v>
      </x:c>
      <x:c r="T462" s="28" t="n">
        <x:f>IFERROR(N462/K462,0)</x:f>
        <x:v>1411.8828571428571</x:v>
      </x:c>
      <x:c r="U462" s="28" t="n">
        <x:f>IFERROR(N462/L462,0)</x:f>
        <x:v>3294.3933333333334</x:v>
      </x:c>
    </x:row>
    <x:row r="463">
      <x:c r="A463" t="n">
        <x:v>462</x:v>
      </x:c>
      <x:c r="B463" s="26" t="n">
        <x:v>46138</x:v>
      </x:c>
      <x:c r="C463" t="str">
        <x:v>CPO_Digital_360</x:v>
      </x:c>
      <x:c r="D463" t="str">
        <x:v>Google Ads</x:v>
      </x:c>
      <x:c r="E463" t="str">
        <x:v>Jovem Profissional</x:v>
      </x:c>
      <x:c r="F463" t="str">
        <x:v>Luanda</x:v>
      </x:c>
      <x:c r="G463" t="str">
        <x:v>Android</x:v>
      </x:c>
      <x:c r="H463" t="n">
        <x:v>17491</x:v>
      </x:c>
      <x:c r="I463" t="n">
        <x:v>517</x:v>
      </x:c>
      <x:c r="J463" t="n">
        <x:v>94</x:v>
      </x:c>
      <x:c r="K463" t="n">
        <x:v>52</x:v>
      </x:c>
      <x:c r="L463" t="n">
        <x:v>32</x:v>
      </x:c>
      <x:c r="M463" s="28" t="n">
        <x:v>36836282.79</x:v>
      </x:c>
      <x:c r="N463" s="28" t="n">
        <x:v>63488.33</x:v>
      </x:c>
      <x:c r="O463" s="30" t="n">
        <x:f>IFERROR(I463/H463,0)</x:f>
        <x:v>0.02955805843004974</x:v>
      </x:c>
      <x:c r="P463" s="30" t="n">
        <x:f>IFERROR(J463/I463,0)</x:f>
        <x:v>0.18181818181818182</x:v>
      </x:c>
      <x:c r="Q463" s="30" t="n">
        <x:f>IFERROR(K463/J463,0)</x:f>
        <x:v>0.5531914893617021</x:v>
      </x:c>
      <x:c r="R463" s="30" t="n">
        <x:f>IFERROR(L463/K463,0)</x:f>
        <x:v>0.6153846153846154</x:v>
      </x:c>
      <x:c r="S463" s="28" t="n">
        <x:f>IFERROR(N463/J463,0)</x:f>
        <x:v>675.4077659574468</x:v>
      </x:c>
      <x:c r="T463" s="28" t="n">
        <x:f>IFERROR(N463/K463,0)</x:f>
        <x:v>1220.929423076923</x:v>
      </x:c>
      <x:c r="U463" s="28" t="n">
        <x:f>IFERROR(N463/L463,0)</x:f>
        <x:v>1984.0103125</x:v>
      </x:c>
    </x:row>
    <x:row r="464">
      <x:c r="A464" t="n">
        <x:v>463</x:v>
      </x:c>
      <x:c r="B464" s="26" t="n">
        <x:v>46138</x:v>
      </x:c>
      <x:c r="C464" t="str">
        <x:v>CPO_Fim_do_Mes</x:v>
      </x:c>
      <x:c r="D464" t="str">
        <x:v>TikTok Ads</x:v>
      </x:c>
      <x:c r="E464" t="str">
        <x:v>Assalariado</x:v>
      </x:c>
      <x:c r="F464" t="str">
        <x:v>Luanda</x:v>
      </x:c>
      <x:c r="G464" t="str">
        <x:v>iOS</x:v>
      </x:c>
      <x:c r="H464" t="n">
        <x:v>11685</x:v>
      </x:c>
      <x:c r="I464" t="n">
        <x:v>144</x:v>
      </x:c>
      <x:c r="J464" t="n">
        <x:v>12</x:v>
      </x:c>
      <x:c r="K464" t="n">
        <x:v>7</x:v>
      </x:c>
      <x:c r="L464" t="n">
        <x:v>5</x:v>
      </x:c>
      <x:c r="M464" s="28" t="n">
        <x:v>11208164.61</x:v>
      </x:c>
      <x:c r="N464" s="28" t="n">
        <x:v>23042.18</x:v>
      </x:c>
      <x:c r="O464" s="30" t="n">
        <x:f>IFERROR(I464/H464,0)</x:f>
        <x:v>0.012323491655969191</x:v>
      </x:c>
      <x:c r="P464" s="30" t="n">
        <x:f>IFERROR(J464/I464,0)</x:f>
        <x:v>0.08333333333333333</x:v>
      </x:c>
      <x:c r="Q464" s="30" t="n">
        <x:f>IFERROR(K464/J464,0)</x:f>
        <x:v>0.5833333333333334</x:v>
      </x:c>
      <x:c r="R464" s="30" t="n">
        <x:f>IFERROR(L464/K464,0)</x:f>
        <x:v>0.7142857142857143</x:v>
      </x:c>
      <x:c r="S464" s="28" t="n">
        <x:f>IFERROR(N464/J464,0)</x:f>
        <x:v>1920.1816666666666</x:v>
      </x:c>
      <x:c r="T464" s="28" t="n">
        <x:f>IFERROR(N464/K464,0)</x:f>
        <x:v>3291.7400000000002</x:v>
      </x:c>
      <x:c r="U464" s="28" t="n">
        <x:f>IFERROR(N464/L464,0)</x:f>
        <x:v>4608.436</x:v>
      </x:c>
    </x:row>
    <x:row r="465">
      <x:c r="A465" t="n">
        <x:v>464</x:v>
      </x:c>
      <x:c r="B465" s="26" t="n">
        <x:v>46138</x:v>
      </x:c>
      <x:c r="C465" t="str">
        <x:v>CPO_Fim_do_Mes</x:v>
      </x:c>
      <x:c r="D465" t="str">
        <x:v>Meta Ads</x:v>
      </x:c>
      <x:c r="E465" t="str">
        <x:v>Jovem Profissional</x:v>
      </x:c>
      <x:c r="F465" t="str">
        <x:v>Luanda</x:v>
      </x:c>
      <x:c r="G465" t="str">
        <x:v>Android</x:v>
      </x:c>
      <x:c r="H465" t="n">
        <x:v>6032</x:v>
      </x:c>
      <x:c r="I465" t="n">
        <x:v>113</x:v>
      </x:c>
      <x:c r="J465" t="n">
        <x:v>13</x:v>
      </x:c>
      <x:c r="K465" t="n">
        <x:v>9</x:v>
      </x:c>
      <x:c r="L465" t="n">
        <x:v>5</x:v>
      </x:c>
      <x:c r="M465" s="28" t="n">
        <x:v>8092674.98</x:v>
      </x:c>
      <x:c r="N465" s="28" t="n">
        <x:v>16068.32</x:v>
      </x:c>
      <x:c r="O465" s="30" t="n">
        <x:f>IFERROR(I465/H465,0)</x:f>
        <x:v>0.01873342175066313</x:v>
      </x:c>
      <x:c r="P465" s="30" t="n">
        <x:f>IFERROR(J465/I465,0)</x:f>
        <x:v>0.11504424778761062</x:v>
      </x:c>
      <x:c r="Q465" s="30" t="n">
        <x:f>IFERROR(K465/J465,0)</x:f>
        <x:v>0.6923076923076923</x:v>
      </x:c>
      <x:c r="R465" s="30" t="n">
        <x:f>IFERROR(L465/K465,0)</x:f>
        <x:v>0.5555555555555556</x:v>
      </x:c>
      <x:c r="S465" s="28" t="n">
        <x:f>IFERROR(N465/J465,0)</x:f>
        <x:v>1236.0246153846153</x:v>
      </x:c>
      <x:c r="T465" s="28" t="n">
        <x:f>IFERROR(N465/K465,0)</x:f>
        <x:v>1785.368888888889</x:v>
      </x:c>
      <x:c r="U465" s="28" t="n">
        <x:f>IFERROR(N465/L465,0)</x:f>
        <x:v>3213.6639999999998</x:v>
      </x:c>
    </x:row>
    <x:row r="466">
      <x:c r="A466" t="n">
        <x:v>465</x:v>
      </x:c>
      <x:c r="B466" s="26" t="n">
        <x:v>46138</x:v>
      </x:c>
      <x:c r="C466" t="str">
        <x:v>CPO_Premium</x:v>
      </x:c>
      <x:c r="D466" t="str">
        <x:v>SMS</x:v>
      </x:c>
      <x:c r="E466" t="str">
        <x:v>Funcionário Público</x:v>
      </x:c>
      <x:c r="F466" t="str">
        <x:v>Luanda</x:v>
      </x:c>
      <x:c r="G466" t="str">
        <x:v>iOS</x:v>
      </x:c>
      <x:c r="H466" t="n">
        <x:v>7893</x:v>
      </x:c>
      <x:c r="I466" t="n">
        <x:v>777</x:v>
      </x:c>
      <x:c r="J466" t="n">
        <x:v>117</x:v>
      </x:c>
      <x:c r="K466" t="n">
        <x:v>71</x:v>
      </x:c>
      <x:c r="L466" t="n">
        <x:v>43</x:v>
      </x:c>
      <x:c r="M466" s="28" t="n">
        <x:v>82787511.01</x:v>
      </x:c>
      <x:c r="N466" s="28" t="n">
        <x:v>61697.4</x:v>
      </x:c>
      <x:c r="O466" s="30" t="n">
        <x:f>IFERROR(I466/H466,0)</x:f>
        <x:v>0.0984416571645762</x:v>
      </x:c>
      <x:c r="P466" s="30" t="n">
        <x:f>IFERROR(J466/I466,0)</x:f>
        <x:v>0.15057915057915058</x:v>
      </x:c>
      <x:c r="Q466" s="30" t="n">
        <x:f>IFERROR(K466/J466,0)</x:f>
        <x:v>0.6068376068376068</x:v>
      </x:c>
      <x:c r="R466" s="30" t="n">
        <x:f>IFERROR(L466/K466,0)</x:f>
        <x:v>0.6056338028169014</x:v>
      </x:c>
      <x:c r="S466" s="28" t="n">
        <x:f>IFERROR(N466/J466,0)</x:f>
        <x:v>527.3282051282051</x:v>
      </x:c>
      <x:c r="T466" s="28" t="n">
        <x:f>IFERROR(N466/K466,0)</x:f>
        <x:v>868.9774647887324</x:v>
      </x:c>
      <x:c r="U466" s="28" t="n">
        <x:f>IFERROR(N466/L466,0)</x:f>
        <x:v>1434.8232558139534</x:v>
      </x:c>
    </x:row>
    <x:row r="467">
      <x:c r="A467" t="n">
        <x:v>466</x:v>
      </x:c>
      <x:c r="B467" s="26" t="n">
        <x:v>46139</x:v>
      </x:c>
      <x:c r="C467" t="str">
        <x:v>CPO_Salario</x:v>
      </x:c>
      <x:c r="D467" t="str">
        <x:v>SMS</x:v>
      </x:c>
      <x:c r="E467" t="str">
        <x:v>Assalariado</x:v>
      </x:c>
      <x:c r="F467" t="str">
        <x:v>Huíla</x:v>
      </x:c>
      <x:c r="G467" t="str">
        <x:v>iOS</x:v>
      </x:c>
      <x:c r="H467" t="n">
        <x:v>5220</x:v>
      </x:c>
      <x:c r="I467" t="n">
        <x:v>327</x:v>
      </x:c>
      <x:c r="J467" t="n">
        <x:v>49</x:v>
      </x:c>
      <x:c r="K467" t="n">
        <x:v>34</x:v>
      </x:c>
      <x:c r="L467" t="n">
        <x:v>19</x:v>
      </x:c>
      <x:c r="M467" s="28" t="n">
        <x:v>37262086.95</x:v>
      </x:c>
      <x:c r="N467" s="28" t="n">
        <x:v>89822.18</x:v>
      </x:c>
      <x:c r="O467" s="30" t="n">
        <x:f>IFERROR(I467/H467,0)</x:f>
        <x:v>0.06264367816091954</x:v>
      </x:c>
      <x:c r="P467" s="30" t="n">
        <x:f>IFERROR(J467/I467,0)</x:f>
        <x:v>0.14984709480122324</x:v>
      </x:c>
      <x:c r="Q467" s="30" t="n">
        <x:f>IFERROR(K467/J467,0)</x:f>
        <x:v>0.6938775510204082</x:v>
      </x:c>
      <x:c r="R467" s="30" t="n">
        <x:f>IFERROR(L467/K467,0)</x:f>
        <x:v>0.5588235294117647</x:v>
      </x:c>
      <x:c r="S467" s="28" t="n">
        <x:f>IFERROR(N467/J467,0)</x:f>
        <x:v>1833.1057142857142</x:v>
      </x:c>
      <x:c r="T467" s="28" t="n">
        <x:f>IFERROR(N467/K467,0)</x:f>
        <x:v>2641.8288235294117</x:v>
      </x:c>
      <x:c r="U467" s="28" t="n">
        <x:f>IFERROR(N467/L467,0)</x:f>
        <x:v>4727.483157894737</x:v>
      </x:c>
    </x:row>
    <x:row r="468">
      <x:c r="A468" t="n">
        <x:v>467</x:v>
      </x:c>
      <x:c r="B468" s="26" t="n">
        <x:v>46139</x:v>
      </x:c>
      <x:c r="C468" t="str">
        <x:v>CPO_Acesso_Rapido</x:v>
      </x:c>
      <x:c r="D468" t="str">
        <x:v>SMS</x:v>
      </x:c>
      <x:c r="E468" t="str">
        <x:v>Jovem Profissional</x:v>
      </x:c>
      <x:c r="F468" t="str">
        <x:v>Huíla</x:v>
      </x:c>
      <x:c r="G468" t="str">
        <x:v>Android</x:v>
      </x:c>
      <x:c r="H468" t="n">
        <x:v>3952</x:v>
      </x:c>
      <x:c r="I468" t="n">
        <x:v>361</x:v>
      </x:c>
      <x:c r="J468" t="n">
        <x:v>49</x:v>
      </x:c>
      <x:c r="K468" t="n">
        <x:v>28</x:v>
      </x:c>
      <x:c r="L468" t="n">
        <x:v>16</x:v>
      </x:c>
      <x:c r="M468" s="28" t="n">
        <x:v>20483292.56</x:v>
      </x:c>
      <x:c r="N468" s="28" t="n">
        <x:v>49159.69</x:v>
      </x:c>
      <x:c r="O468" s="30" t="n">
        <x:f>IFERROR(I468/H468,0)</x:f>
        <x:v>0.09134615384615384</x:v>
      </x:c>
      <x:c r="P468" s="30" t="n">
        <x:f>IFERROR(J468/I468,0)</x:f>
        <x:v>0.13573407202216067</x:v>
      </x:c>
      <x:c r="Q468" s="30" t="n">
        <x:f>IFERROR(K468/J468,0)</x:f>
        <x:v>0.5714285714285714</x:v>
      </x:c>
      <x:c r="R468" s="30" t="n">
        <x:f>IFERROR(L468/K468,0)</x:f>
        <x:v>0.5714285714285714</x:v>
      </x:c>
      <x:c r="S468" s="28" t="n">
        <x:f>IFERROR(N468/J468,0)</x:f>
        <x:v>1003.2589795918368</x:v>
      </x:c>
      <x:c r="T468" s="28" t="n">
        <x:f>IFERROR(N468/K468,0)</x:f>
        <x:v>1755.7032142857145</x:v>
      </x:c>
      <x:c r="U468" s="28" t="n">
        <x:f>IFERROR(N468/L468,0)</x:f>
        <x:v>3072.480625</x:v>
      </x:c>
    </x:row>
    <x:row r="469">
      <x:c r="A469" t="n">
        <x:v>468</x:v>
      </x:c>
      <x:c r="B469" s="26" t="n">
        <x:v>46139</x:v>
      </x:c>
      <x:c r="C469" t="str">
        <x:v>CPO_Fim_do_Mes</x:v>
      </x:c>
      <x:c r="D469" t="str">
        <x:v>Google Ads</x:v>
      </x:c>
      <x:c r="E469" t="str">
        <x:v>Pequeno Negócio</x:v>
      </x:c>
      <x:c r="F469" t="str">
        <x:v>Luanda</x:v>
      </x:c>
      <x:c r="G469" t="str">
        <x:v>Android</x:v>
      </x:c>
      <x:c r="H469" t="n">
        <x:v>22726</x:v>
      </x:c>
      <x:c r="I469" t="n">
        <x:v>703</x:v>
      </x:c>
      <x:c r="J469" t="n">
        <x:v>131</x:v>
      </x:c>
      <x:c r="K469" t="n">
        <x:v>45</x:v>
      </x:c>
      <x:c r="L469" t="n">
        <x:v>18</x:v>
      </x:c>
      <x:c r="M469" s="28" t="n">
        <x:v>57776890.76</x:v>
      </x:c>
      <x:c r="N469" s="28" t="n">
        <x:v>121243.01</x:v>
      </x:c>
      <x:c r="O469" s="30" t="n">
        <x:f>IFERROR(I469/H469,0)</x:f>
        <x:v>0.030933732289008184</x:v>
      </x:c>
      <x:c r="P469" s="30" t="n">
        <x:f>IFERROR(J469/I469,0)</x:f>
        <x:v>0.18634423897581792</x:v>
      </x:c>
      <x:c r="Q469" s="30" t="n">
        <x:f>IFERROR(K469/J469,0)</x:f>
        <x:v>0.3435114503816794</x:v>
      </x:c>
      <x:c r="R469" s="30" t="n">
        <x:f>IFERROR(L469/K469,0)</x:f>
        <x:v>0.4</x:v>
      </x:c>
      <x:c r="S469" s="28" t="n">
        <x:f>IFERROR(N469/J469,0)</x:f>
        <x:v>925.5191603053435</x:v>
      </x:c>
      <x:c r="T469" s="28" t="n">
        <x:f>IFERROR(N469/K469,0)</x:f>
        <x:v>2694.289111111111</x:v>
      </x:c>
      <x:c r="U469" s="28" t="n">
        <x:f>IFERROR(N469/L469,0)</x:f>
        <x:v>6735.722777777777</x:v>
      </x:c>
    </x:row>
    <x:row r="470">
      <x:c r="A470" t="n">
        <x:v>469</x:v>
      </x:c>
      <x:c r="B470" s="26" t="n">
        <x:v>46139</x:v>
      </x:c>
      <x:c r="C470" t="str">
        <x:v>CPO_Acesso_Rapido</x:v>
      </x:c>
      <x:c r="D470" t="str">
        <x:v>SMS</x:v>
      </x:c>
      <x:c r="E470" t="str">
        <x:v>Jovem Profissional</x:v>
      </x:c>
      <x:c r="F470" t="str">
        <x:v>Uíge</x:v>
      </x:c>
      <x:c r="G470" t="str">
        <x:v>iOS</x:v>
      </x:c>
      <x:c r="H470" t="n">
        <x:v>9740</x:v>
      </x:c>
      <x:c r="I470" t="n">
        <x:v>878</x:v>
      </x:c>
      <x:c r="J470" t="n">
        <x:v>102</x:v>
      </x:c>
      <x:c r="K470" t="n">
        <x:v>54</x:v>
      </x:c>
      <x:c r="L470" t="n">
        <x:v>35</x:v>
      </x:c>
      <x:c r="M470" s="28" t="n">
        <x:v>44543527.34</x:v>
      </x:c>
      <x:c r="N470" s="28" t="n">
        <x:v>31782.14</x:v>
      </x:c>
      <x:c r="O470" s="30" t="n">
        <x:f>IFERROR(I470/H470,0)</x:f>
        <x:v>0.09014373716632444</x:v>
      </x:c>
      <x:c r="P470" s="30" t="n">
        <x:f>IFERROR(J470/I470,0)</x:f>
        <x:v>0.11617312072892938</x:v>
      </x:c>
      <x:c r="Q470" s="30" t="n">
        <x:f>IFERROR(K470/J470,0)</x:f>
        <x:v>0.5294117647058824</x:v>
      </x:c>
      <x:c r="R470" s="30" t="n">
        <x:f>IFERROR(L470/K470,0)</x:f>
        <x:v>0.6481481481481481</x:v>
      </x:c>
      <x:c r="S470" s="28" t="n">
        <x:f>IFERROR(N470/J470,0)</x:f>
        <x:v>311.58960784313723</x:v>
      </x:c>
      <x:c r="T470" s="28" t="n">
        <x:f>IFERROR(N470/K470,0)</x:f>
        <x:v>588.5581481481481</x:v>
      </x:c>
      <x:c r="U470" s="28" t="n">
        <x:f>IFERROR(N470/L470,0)</x:f>
        <x:v>908.0611428571428</x:v>
      </x:c>
    </x:row>
    <x:row r="471">
      <x:c r="A471" t="n">
        <x:v>470</x:v>
      </x:c>
      <x:c r="B471" s="26" t="n">
        <x:v>46140</x:v>
      </x:c>
      <x:c r="C471" t="str">
        <x:v>CPO_Fim_do_Mes</x:v>
      </x:c>
      <x:c r="D471" t="str">
        <x:v>SMS</x:v>
      </x:c>
      <x:c r="E471" t="str">
        <x:v>Premium</x:v>
      </x:c>
      <x:c r="F471" t="str">
        <x:v>Benguela</x:v>
      </x:c>
      <x:c r="G471" t="str">
        <x:v>Android</x:v>
      </x:c>
      <x:c r="H471" t="n">
        <x:v>3092</x:v>
      </x:c>
      <x:c r="I471" t="n">
        <x:v>224</x:v>
      </x:c>
      <x:c r="J471" t="n">
        <x:v>34</x:v>
      </x:c>
      <x:c r="K471" t="n">
        <x:v>25</x:v>
      </x:c>
      <x:c r="L471" t="n">
        <x:v>19</x:v>
      </x:c>
      <x:c r="M471" s="28" t="n">
        <x:v>105758297.7</x:v>
      </x:c>
      <x:c r="N471" s="28" t="n">
        <x:v>23035.04</x:v>
      </x:c>
      <x:c r="O471" s="30" t="n">
        <x:f>IFERROR(I471/H471,0)</x:f>
        <x:v>0.0724450194049159</x:v>
      </x:c>
      <x:c r="P471" s="30" t="n">
        <x:f>IFERROR(J471/I471,0)</x:f>
        <x:v>0.15178571428571427</x:v>
      </x:c>
      <x:c r="Q471" s="30" t="n">
        <x:f>IFERROR(K471/J471,0)</x:f>
        <x:v>0.7352941176470589</x:v>
      </x:c>
      <x:c r="R471" s="30" t="n">
        <x:f>IFERROR(L471/K471,0)</x:f>
        <x:v>0.76</x:v>
      </x:c>
      <x:c r="S471" s="28" t="n">
        <x:f>IFERROR(N471/J471,0)</x:f>
        <x:v>677.5011764705882</x:v>
      </x:c>
      <x:c r="T471" s="28" t="n">
        <x:f>IFERROR(N471/K471,0)</x:f>
        <x:v>921.4016</x:v>
      </x:c>
      <x:c r="U471" s="28" t="n">
        <x:f>IFERROR(N471/L471,0)</x:f>
        <x:v>1212.3705263157894</x:v>
      </x:c>
    </x:row>
    <x:row r="472">
      <x:c r="A472" t="n">
        <x:v>471</x:v>
      </x:c>
      <x:c r="B472" s="26" t="n">
        <x:v>46140</x:v>
      </x:c>
      <x:c r="C472" t="str">
        <x:v>CPO_Always_On</x:v>
      </x:c>
      <x:c r="D472" t="str">
        <x:v>Google Ads</x:v>
      </x:c>
      <x:c r="E472" t="str">
        <x:v>Assalariado</x:v>
      </x:c>
      <x:c r="F472" t="str">
        <x:v>Luanda</x:v>
      </x:c>
      <x:c r="G472" t="str">
        <x:v>Android</x:v>
      </x:c>
      <x:c r="H472" t="n">
        <x:v>10993</x:v>
      </x:c>
      <x:c r="I472" t="n">
        <x:v>328</x:v>
      </x:c>
      <x:c r="J472" t="n">
        <x:v>51</x:v>
      </x:c>
      <x:c r="K472" t="n">
        <x:v>33</x:v>
      </x:c>
      <x:c r="L472" t="n">
        <x:v>20</x:v>
      </x:c>
      <x:c r="M472" s="28" t="n">
        <x:v>48221364.14</x:v>
      </x:c>
      <x:c r="N472" s="28" t="n">
        <x:v>20117.76</x:v>
      </x:c>
      <x:c r="O472" s="30" t="n">
        <x:f>IFERROR(I472/H472,0)</x:f>
        <x:v>0.029837169107613935</x:v>
      </x:c>
      <x:c r="P472" s="30" t="n">
        <x:f>IFERROR(J472/I472,0)</x:f>
        <x:v>0.15548780487804878</x:v>
      </x:c>
      <x:c r="Q472" s="30" t="n">
        <x:f>IFERROR(K472/J472,0)</x:f>
        <x:v>0.6470588235294118</x:v>
      </x:c>
      <x:c r="R472" s="30" t="n">
        <x:f>IFERROR(L472/K472,0)</x:f>
        <x:v>0.6060606060606061</x:v>
      </x:c>
      <x:c r="S472" s="28" t="n">
        <x:f>IFERROR(N472/J472,0)</x:f>
        <x:v>394.46588235294115</x:v>
      </x:c>
      <x:c r="T472" s="28" t="n">
        <x:f>IFERROR(N472/K472,0)</x:f>
        <x:v>609.6290909090909</x:v>
      </x:c>
      <x:c r="U472" s="28" t="n">
        <x:f>IFERROR(N472/L472,0)</x:f>
        <x:v>1005.8879999999999</x:v>
      </x:c>
    </x:row>
    <x:row r="473">
      <x:c r="A473" t="n">
        <x:v>472</x:v>
      </x:c>
      <x:c r="B473" s="26" t="n">
        <x:v>46140</x:v>
      </x:c>
      <x:c r="C473" t="str">
        <x:v>CPO_Premium</x:v>
      </x:c>
      <x:c r="D473" t="str">
        <x:v>TikTok Ads</x:v>
      </x:c>
      <x:c r="E473" t="str">
        <x:v>Pequeno Negócio</x:v>
      </x:c>
      <x:c r="F473" t="str">
        <x:v>Luanda</x:v>
      </x:c>
      <x:c r="G473" t="str">
        <x:v>Android</x:v>
      </x:c>
      <x:c r="H473" t="n">
        <x:v>20056</x:v>
      </x:c>
      <x:c r="I473" t="n">
        <x:v>234</x:v>
      </x:c>
      <x:c r="J473" t="n">
        <x:v>19</x:v>
      </x:c>
      <x:c r="K473" t="n">
        <x:v>9</x:v>
      </x:c>
      <x:c r="L473" t="n">
        <x:v>4</x:v>
      </x:c>
      <x:c r="M473" s="28" t="n">
        <x:v>11485367.74</x:v>
      </x:c>
      <x:c r="N473" s="28" t="n">
        <x:v>23744.49</x:v>
      </x:c>
      <x:c r="O473" s="30" t="n">
        <x:f>IFERROR(I473/H473,0)</x:f>
        <x:v>0.011667331471878739</x:v>
      </x:c>
      <x:c r="P473" s="30" t="n">
        <x:f>IFERROR(J473/I473,0)</x:f>
        <x:v>0.0811965811965812</x:v>
      </x:c>
      <x:c r="Q473" s="30" t="n">
        <x:f>IFERROR(K473/J473,0)</x:f>
        <x:v>0.47368421052631576</x:v>
      </x:c>
      <x:c r="R473" s="30" t="n">
        <x:f>IFERROR(L473/K473,0)</x:f>
        <x:v>0.4444444444444444</x:v>
      </x:c>
      <x:c r="S473" s="28" t="n">
        <x:f>IFERROR(N473/J473,0)</x:f>
        <x:v>1249.71</x:v>
      </x:c>
      <x:c r="T473" s="28" t="n">
        <x:f>IFERROR(N473/K473,0)</x:f>
        <x:v>2638.2766666666666</x:v>
      </x:c>
      <x:c r="U473" s="28" t="n">
        <x:f>IFERROR(N473/L473,0)</x:f>
        <x:v>5936.1225</x:v>
      </x:c>
    </x:row>
    <x:row r="474">
      <x:c r="A474" t="n">
        <x:v>473</x:v>
      </x:c>
      <x:c r="B474" s="26" t="n">
        <x:v>46141</x:v>
      </x:c>
      <x:c r="C474" t="str">
        <x:v>CPO_Fim_do_Mes</x:v>
      </x:c>
      <x:c r="D474" t="str">
        <x:v>Google Ads</x:v>
      </x:c>
      <x:c r="E474" t="str">
        <x:v>Assalariado</x:v>
      </x:c>
      <x:c r="F474" t="str">
        <x:v>Luanda</x:v>
      </x:c>
      <x:c r="G474" t="str">
        <x:v>Android</x:v>
      </x:c>
      <x:c r="H474" t="n">
        <x:v>18965</x:v>
      </x:c>
      <x:c r="I474" t="n">
        <x:v>719</x:v>
      </x:c>
      <x:c r="J474" t="n">
        <x:v>103</x:v>
      </x:c>
      <x:c r="K474" t="n">
        <x:v>65</x:v>
      </x:c>
      <x:c r="L474" t="n">
        <x:v>38</x:v>
      </x:c>
      <x:c r="M474" s="28" t="n">
        <x:v>79181210.55</x:v>
      </x:c>
      <x:c r="N474" s="28" t="n">
        <x:v>95889.08</x:v>
      </x:c>
      <x:c r="O474" s="30" t="n">
        <x:f>IFERROR(I474/H474,0)</x:f>
        <x:v>0.03791194305299236</x:v>
      </x:c>
      <x:c r="P474" s="30" t="n">
        <x:f>IFERROR(J474/I474,0)</x:f>
        <x:v>0.14325452016689846</x:v>
      </x:c>
      <x:c r="Q474" s="30" t="n">
        <x:f>IFERROR(K474/J474,0)</x:f>
        <x:v>0.6310679611650486</x:v>
      </x:c>
      <x:c r="R474" s="30" t="n">
        <x:f>IFERROR(L474/K474,0)</x:f>
        <x:v>0.5846153846153846</x:v>
      </x:c>
      <x:c r="S474" s="28" t="n">
        <x:f>IFERROR(N474/J474,0)</x:f>
        <x:v>930.9619417475728</x:v>
      </x:c>
      <x:c r="T474" s="28" t="n">
        <x:f>IFERROR(N474/K474,0)</x:f>
        <x:v>1475.2166153846154</x:v>
      </x:c>
      <x:c r="U474" s="28" t="n">
        <x:f>IFERROR(N474/L474,0)</x:f>
        <x:v>2523.396842105263</x:v>
      </x:c>
    </x:row>
    <x:row r="475">
      <x:c r="A475" t="n">
        <x:v>474</x:v>
      </x:c>
      <x:c r="B475" s="26" t="n">
        <x:v>46141</x:v>
      </x:c>
      <x:c r="C475" t="str">
        <x:v>CPO_Always_On</x:v>
      </x:c>
      <x:c r="D475" t="str">
        <x:v>E-mail</x:v>
      </x:c>
      <x:c r="E475" t="str">
        <x:v>Premium</x:v>
      </x:c>
      <x:c r="F475" t="str">
        <x:v>Huíla</x:v>
      </x:c>
      <x:c r="G475" t="str">
        <x:v>Android</x:v>
      </x:c>
      <x:c r="H475" t="n">
        <x:v>3535</x:v>
      </x:c>
      <x:c r="I475" t="n">
        <x:v>166</x:v>
      </x:c>
      <x:c r="J475" t="n">
        <x:v>16</x:v>
      </x:c>
      <x:c r="K475" t="n">
        <x:v>12</x:v>
      </x:c>
      <x:c r="L475" t="n">
        <x:v>9</x:v>
      </x:c>
      <x:c r="M475" s="28" t="n">
        <x:v>47691453.94</x:v>
      </x:c>
      <x:c r="N475" s="28" t="n">
        <x:v>28456.43</x:v>
      </x:c>
      <x:c r="O475" s="30" t="n">
        <x:f>IFERROR(I475/H475,0)</x:f>
        <x:v>0.04695898161244696</x:v>
      </x:c>
      <x:c r="P475" s="30" t="n">
        <x:f>IFERROR(J475/I475,0)</x:f>
        <x:v>0.0963855421686747</x:v>
      </x:c>
      <x:c r="Q475" s="30" t="n">
        <x:f>IFERROR(K475/J475,0)</x:f>
        <x:v>0.75</x:v>
      </x:c>
      <x:c r="R475" s="30" t="n">
        <x:f>IFERROR(L475/K475,0)</x:f>
        <x:v>0.75</x:v>
      </x:c>
      <x:c r="S475" s="28" t="n">
        <x:f>IFERROR(N475/J475,0)</x:f>
        <x:v>1778.526875</x:v>
      </x:c>
      <x:c r="T475" s="28" t="n">
        <x:f>IFERROR(N475/K475,0)</x:f>
        <x:v>2371.369166666667</x:v>
      </x:c>
      <x:c r="U475" s="28" t="n">
        <x:f>IFERROR(N475/L475,0)</x:f>
        <x:v>3161.8255555555556</x:v>
      </x:c>
    </x:row>
    <x:row r="476">
      <x:c r="A476" t="n">
        <x:v>475</x:v>
      </x:c>
      <x:c r="B476" s="26" t="n">
        <x:v>46141</x:v>
      </x:c>
      <x:c r="C476" t="str">
        <x:v>CPO_Digital_360</x:v>
      </x:c>
      <x:c r="D476" t="str">
        <x:v>E-mail</x:v>
      </x:c>
      <x:c r="E476" t="str">
        <x:v>Funcionário Público</x:v>
      </x:c>
      <x:c r="F476" t="str">
        <x:v>Luanda</x:v>
      </x:c>
      <x:c r="G476" t="str">
        <x:v>Android</x:v>
      </x:c>
      <x:c r="H476" t="n">
        <x:v>11251</x:v>
      </x:c>
      <x:c r="I476" t="n">
        <x:v>695</x:v>
      </x:c>
      <x:c r="J476" t="n">
        <x:v>91</x:v>
      </x:c>
      <x:c r="K476" t="n">
        <x:v>67</x:v>
      </x:c>
      <x:c r="L476" t="n">
        <x:v>45</x:v>
      </x:c>
      <x:c r="M476" s="28" t="n">
        <x:v>80812841.02</x:v>
      </x:c>
      <x:c r="N476" s="28" t="n">
        <x:v>46306.68</x:v>
      </x:c>
      <x:c r="O476" s="30" t="n">
        <x:f>IFERROR(I476/H476,0)</x:f>
        <x:v>0.06177228690783042</x:v>
      </x:c>
      <x:c r="P476" s="30" t="n">
        <x:f>IFERROR(J476/I476,0)</x:f>
        <x:v>0.13093525179856116</x:v>
      </x:c>
      <x:c r="Q476" s="30" t="n">
        <x:f>IFERROR(K476/J476,0)</x:f>
        <x:v>0.7362637362637363</x:v>
      </x:c>
      <x:c r="R476" s="30" t="n">
        <x:f>IFERROR(L476/K476,0)</x:f>
        <x:v>0.6716417910447762</x:v>
      </x:c>
      <x:c r="S476" s="28" t="n">
        <x:f>IFERROR(N476/J476,0)</x:f>
        <x:v>508.8646153846154</x:v>
      </x:c>
      <x:c r="T476" s="28" t="n">
        <x:f>IFERROR(N476/K476,0)</x:f>
        <x:v>691.1444776119403</x:v>
      </x:c>
      <x:c r="U476" s="28" t="n">
        <x:f>IFERROR(N476/L476,0)</x:f>
        <x:v>1029.0373333333334</x:v>
      </x:c>
    </x:row>
    <x:row r="477">
      <x:c r="A477" t="n">
        <x:v>476</x:v>
      </x:c>
      <x:c r="B477" s="26" t="n">
        <x:v>46141</x:v>
      </x:c>
      <x:c r="C477" t="str">
        <x:v>CPO_Salario</x:v>
      </x:c>
      <x:c r="D477" t="str">
        <x:v>Google Ads</x:v>
      </x:c>
      <x:c r="E477" t="str">
        <x:v>Pequeno Negócio</x:v>
      </x:c>
      <x:c r="F477" t="str">
        <x:v>Cabinda</x:v>
      </x:c>
      <x:c r="G477" t="str">
        <x:v>Android</x:v>
      </x:c>
      <x:c r="H477" t="n">
        <x:v>25991</x:v>
      </x:c>
      <x:c r="I477" t="n">
        <x:v>743</x:v>
      </x:c>
      <x:c r="J477" t="n">
        <x:v>113</x:v>
      </x:c>
      <x:c r="K477" t="n">
        <x:v>41</x:v>
      </x:c>
      <x:c r="L477" t="n">
        <x:v>19</x:v>
      </x:c>
      <x:c r="M477" s="28" t="n">
        <x:v>55039988.14</x:v>
      </x:c>
      <x:c r="N477" s="28" t="n">
        <x:v>130273.03</x:v>
      </x:c>
      <x:c r="O477" s="30" t="n">
        <x:f>IFERROR(I477/H477,0)</x:f>
        <x:v>0.028586818514101036</x:v>
      </x:c>
      <x:c r="P477" s="30" t="n">
        <x:f>IFERROR(J477/I477,0)</x:f>
        <x:v>0.15208613728129206</x:v>
      </x:c>
      <x:c r="Q477" s="30" t="n">
        <x:f>IFERROR(K477/J477,0)</x:f>
        <x:v>0.36283185840707965</x:v>
      </x:c>
      <x:c r="R477" s="30" t="n">
        <x:f>IFERROR(L477/K477,0)</x:f>
        <x:v>0.4634146341463415</x:v>
      </x:c>
      <x:c r="S477" s="28" t="n">
        <x:f>IFERROR(N477/J477,0)</x:f>
        <x:v>1152.8586725663718</x:v>
      </x:c>
      <x:c r="T477" s="28" t="n">
        <x:f>IFERROR(N477/K477,0)</x:f>
        <x:v>3177.390975609756</x:v>
      </x:c>
      <x:c r="U477" s="28" t="n">
        <x:f>IFERROR(N477/L477,0)</x:f>
        <x:v>6856.475263157895</x:v>
      </x:c>
    </x:row>
    <x:row r="478">
      <x:c r="A478" t="n">
        <x:v>477</x:v>
      </x:c>
      <x:c r="B478" s="26" t="n">
        <x:v>46142</x:v>
      </x:c>
      <x:c r="C478" t="str">
        <x:v>CPO_Salario</x:v>
      </x:c>
      <x:c r="D478" t="str">
        <x:v>E-mail</x:v>
      </x:c>
      <x:c r="E478" t="str">
        <x:v>Assalariado</x:v>
      </x:c>
      <x:c r="F478" t="str">
        <x:v>Cuanza Sul</x:v>
      </x:c>
      <x:c r="G478" t="str">
        <x:v>iOS</x:v>
      </x:c>
      <x:c r="H478" t="n">
        <x:v>2129</x:v>
      </x:c>
      <x:c r="I478" t="n">
        <x:v>116</x:v>
      </x:c>
      <x:c r="J478" t="n">
        <x:v>10</x:v>
      </x:c>
      <x:c r="K478" t="n">
        <x:v>6</x:v>
      </x:c>
      <x:c r="L478" t="n">
        <x:v>3</x:v>
      </x:c>
      <x:c r="M478" s="28" t="n">
        <x:v>6243060.82</x:v>
      </x:c>
      <x:c r="N478" s="28" t="n">
        <x:v>9921.21</x:v>
      </x:c>
      <x:c r="O478" s="30" t="n">
        <x:f>IFERROR(I478/H478,0)</x:f>
        <x:v>0.05448567402536402</x:v>
      </x:c>
      <x:c r="P478" s="30" t="n">
        <x:f>IFERROR(J478/I478,0)</x:f>
        <x:v>0.08620689655172414</x:v>
      </x:c>
      <x:c r="Q478" s="30" t="n">
        <x:f>IFERROR(K478/J478,0)</x:f>
        <x:v>0.6</x:v>
      </x:c>
      <x:c r="R478" s="30" t="n">
        <x:f>IFERROR(L478/K478,0)</x:f>
        <x:v>0.5</x:v>
      </x:c>
      <x:c r="S478" s="28" t="n">
        <x:f>IFERROR(N478/J478,0)</x:f>
        <x:v>992.1209999999999</x:v>
      </x:c>
      <x:c r="T478" s="28" t="n">
        <x:f>IFERROR(N478/K478,0)</x:f>
        <x:v>1653.5349999999999</x:v>
      </x:c>
      <x:c r="U478" s="28" t="n">
        <x:f>IFERROR(N478/L478,0)</x:f>
        <x:v>3307.0699999999997</x:v>
      </x:c>
    </x:row>
    <x:row r="479">
      <x:c r="A479" t="n">
        <x:v>478</x:v>
      </x:c>
      <x:c r="B479" s="26" t="n">
        <x:v>46142</x:v>
      </x:c>
      <x:c r="C479" t="str">
        <x:v>CPO_Salario</x:v>
      </x:c>
      <x:c r="D479" t="str">
        <x:v>E-mail</x:v>
      </x:c>
      <x:c r="E479" t="str">
        <x:v>Funcionário Público</x:v>
      </x:c>
      <x:c r="F479" t="str">
        <x:v>Huíla</x:v>
      </x:c>
      <x:c r="G479" t="str">
        <x:v>Android</x:v>
      </x:c>
      <x:c r="H479" t="n">
        <x:v>9764</x:v>
      </x:c>
      <x:c r="I479" t="n">
        <x:v>498</x:v>
      </x:c>
      <x:c r="J479" t="n">
        <x:v>42</x:v>
      </x:c>
      <x:c r="K479" t="n">
        <x:v>25</x:v>
      </x:c>
      <x:c r="L479" t="n">
        <x:v>18</x:v>
      </x:c>
      <x:c r="M479" s="28" t="n">
        <x:v>30959902.61</x:v>
      </x:c>
      <x:c r="N479" s="28" t="n">
        <x:v>79590.55</x:v>
      </x:c>
      <x:c r="O479" s="30" t="n">
        <x:f>IFERROR(I479/H479,0)</x:f>
        <x:v>0.05100368701351905</x:v>
      </x:c>
      <x:c r="P479" s="30" t="n">
        <x:f>IFERROR(J479/I479,0)</x:f>
        <x:v>0.08433734939759036</x:v>
      </x:c>
      <x:c r="Q479" s="30" t="n">
        <x:f>IFERROR(K479/J479,0)</x:f>
        <x:v>0.5952380952380952</x:v>
      </x:c>
      <x:c r="R479" s="30" t="n">
        <x:f>IFERROR(L479/K479,0)</x:f>
        <x:v>0.72</x:v>
      </x:c>
      <x:c r="S479" s="28" t="n">
        <x:f>IFERROR(N479/J479,0)</x:f>
        <x:v>1895.0130952380953</x:v>
      </x:c>
      <x:c r="T479" s="28" t="n">
        <x:f>IFERROR(N479/K479,0)</x:f>
        <x:v>3183.6220000000003</x:v>
      </x:c>
      <x:c r="U479" s="28" t="n">
        <x:f>IFERROR(N479/L479,0)</x:f>
        <x:v>4421.697222222222</x:v>
      </x:c>
    </x:row>
    <x:row r="480">
      <x:c r="A480" t="n">
        <x:v>479</x:v>
      </x:c>
      <x:c r="B480" s="26" t="n">
        <x:v>46142</x:v>
      </x:c>
      <x:c r="C480" t="str">
        <x:v>CPO_Always_On</x:v>
      </x:c>
      <x:c r="D480" t="str">
        <x:v>Google Ads</x:v>
      </x:c>
      <x:c r="E480" t="str">
        <x:v>Pequeno Negócio</x:v>
      </x:c>
      <x:c r="F480" t="str">
        <x:v>Luanda</x:v>
      </x:c>
      <x:c r="G480" t="str">
        <x:v>Android</x:v>
      </x:c>
      <x:c r="H480" t="n">
        <x:v>2795</x:v>
      </x:c>
      <x:c r="I480" t="n">
        <x:v>89</x:v>
      </x:c>
      <x:c r="J480" t="n">
        <x:v>10</x:v>
      </x:c>
      <x:c r="K480" t="n">
        <x:v>5</x:v>
      </x:c>
      <x:c r="L480" t="n">
        <x:v>2</x:v>
      </x:c>
      <x:c r="M480" s="28" t="n">
        <x:v>4535185.78</x:v>
      </x:c>
      <x:c r="N480" s="28" t="n">
        <x:v>12101.62</x:v>
      </x:c>
      <x:c r="O480" s="30" t="n">
        <x:f>IFERROR(I480/H480,0)</x:f>
        <x:v>0.03184257602862254</x:v>
      </x:c>
      <x:c r="P480" s="30" t="n">
        <x:f>IFERROR(J480/I480,0)</x:f>
        <x:v>0.11235955056179775</x:v>
      </x:c>
      <x:c r="Q480" s="30" t="n">
        <x:f>IFERROR(K480/J480,0)</x:f>
        <x:v>0.5</x:v>
      </x:c>
      <x:c r="R480" s="30" t="n">
        <x:f>IFERROR(L480/K480,0)</x:f>
        <x:v>0.4</x:v>
      </x:c>
      <x:c r="S480" s="28" t="n">
        <x:f>IFERROR(N480/J480,0)</x:f>
        <x:v>1210.162</x:v>
      </x:c>
      <x:c r="T480" s="28" t="n">
        <x:f>IFERROR(N480/K480,0)</x:f>
        <x:v>2420.324</x:v>
      </x:c>
      <x:c r="U480" s="28" t="n">
        <x:f>IFERROR(N480/L480,0)</x:f>
        <x:v>6050.81</x:v>
      </x:c>
    </x:row>
    <x:row r="481">
      <x:c r="A481" t="n">
        <x:v>480</x:v>
      </x:c>
      <x:c r="B481" s="26" t="n">
        <x:v>46142</x:v>
      </x:c>
      <x:c r="C481" t="str">
        <x:v>CPO_Digital_360</x:v>
      </x:c>
      <x:c r="D481" t="str">
        <x:v>Google Ads</x:v>
      </x:c>
      <x:c r="E481" t="str">
        <x:v>Pequeno Negócio</x:v>
      </x:c>
      <x:c r="F481" t="str">
        <x:v>Luanda</x:v>
      </x:c>
      <x:c r="G481" t="str">
        <x:v>Android</x:v>
      </x:c>
      <x:c r="H481" t="n">
        <x:v>4562</x:v>
      </x:c>
      <x:c r="I481" t="n">
        <x:v>145</x:v>
      </x:c>
      <x:c r="J481" t="n">
        <x:v>18</x:v>
      </x:c>
      <x:c r="K481" t="n">
        <x:v>8</x:v>
      </x:c>
      <x:c r="L481" t="n">
        <x:v>4</x:v>
      </x:c>
      <x:c r="M481" s="28" t="n">
        <x:v>12693820.67</x:v>
      </x:c>
      <x:c r="N481" s="28" t="n">
        <x:v>16996.09</x:v>
      </x:c>
      <x:c r="O481" s="30" t="n">
        <x:f>IFERROR(I481/H481,0)</x:f>
        <x:v>0.03178430512932924</x:v>
      </x:c>
      <x:c r="P481" s="30" t="n">
        <x:f>IFERROR(J481/I481,0)</x:f>
        <x:v>0.12413793103448276</x:v>
      </x:c>
      <x:c r="Q481" s="30" t="n">
        <x:f>IFERROR(K481/J481,0)</x:f>
        <x:v>0.4444444444444444</x:v>
      </x:c>
      <x:c r="R481" s="30" t="n">
        <x:f>IFERROR(L481/K481,0)</x:f>
        <x:v>0.5</x:v>
      </x:c>
      <x:c r="S481" s="28" t="n">
        <x:f>IFERROR(N481/J481,0)</x:f>
        <x:v>944.2272222222223</x:v>
      </x:c>
      <x:c r="T481" s="28" t="n">
        <x:f>IFERROR(N481/K481,0)</x:f>
        <x:v>2124.51125</x:v>
      </x:c>
      <x:c r="U481" s="28" t="n">
        <x:f>IFERROR(N481/L481,0)</x:f>
        <x:v>4249.0225</x:v>
      </x:c>
    </x:row>
    <x:row r="482">
      <x:c r="A482" t="n">
        <x:v>481</x:v>
      </x:c>
      <x:c r="B482" s="26" t="n">
        <x:v>46142</x:v>
      </x:c>
      <x:c r="C482" t="str">
        <x:v>CPO_Digital_360</x:v>
      </x:c>
      <x:c r="D482" t="str">
        <x:v>E-mail</x:v>
      </x:c>
      <x:c r="E482" t="str">
        <x:v>Premium</x:v>
      </x:c>
      <x:c r="F482" t="str">
        <x:v>Huambo</x:v>
      </x:c>
      <x:c r="G482" t="str">
        <x:v>Desktop</x:v>
      </x:c>
      <x:c r="H482" t="n">
        <x:v>7545</x:v>
      </x:c>
      <x:c r="I482" t="n">
        <x:v>378</x:v>
      </x:c>
      <x:c r="J482" t="n">
        <x:v>54</x:v>
      </x:c>
      <x:c r="K482" t="n">
        <x:v>41</x:v>
      </x:c>
      <x:c r="L482" t="n">
        <x:v>36</x:v>
      </x:c>
      <x:c r="M482" s="28" t="n">
        <x:v>179772439.43</x:v>
      </x:c>
      <x:c r="N482" s="28" t="n">
        <x:v>63216.08</x:v>
      </x:c>
      <x:c r="O482" s="30" t="n">
        <x:f>IFERROR(I482/H482,0)</x:f>
        <x:v>0.05009940357852883</x:v>
      </x:c>
      <x:c r="P482" s="30" t="n">
        <x:f>IFERROR(J482/I482,0)</x:f>
        <x:v>0.14285714285714285</x:v>
      </x:c>
      <x:c r="Q482" s="30" t="n">
        <x:f>IFERROR(K482/J482,0)</x:f>
        <x:v>0.7592592592592593</x:v>
      </x:c>
      <x:c r="R482" s="30" t="n">
        <x:f>IFERROR(L482/K482,0)</x:f>
        <x:v>0.8780487804878049</x:v>
      </x:c>
      <x:c r="S482" s="28" t="n">
        <x:f>IFERROR(N482/J482,0)</x:f>
        <x:v>1170.6681481481482</x:v>
      </x:c>
      <x:c r="T482" s="28" t="n">
        <x:f>IFERROR(N482/K482,0)</x:f>
        <x:v>1541.8556097560977</x:v>
      </x:c>
      <x:c r="U482" s="28" t="n">
        <x:f>IFERROR(N482/L482,0)</x:f>
        <x:v>1756.0022222222224</x:v>
      </x:c>
    </x:row>
    <x:row r="483">
      <x:c r="A483" t="n">
        <x:v>482</x:v>
      </x:c>
      <x:c r="B483" s="26" t="n">
        <x:v>46143</x:v>
      </x:c>
      <x:c r="C483" t="str">
        <x:v>CPO_Fim_do_Mes</x:v>
      </x:c>
      <x:c r="D483" t="str">
        <x:v>Google Ads</x:v>
      </x:c>
      <x:c r="E483" t="str">
        <x:v>Assalariado</x:v>
      </x:c>
      <x:c r="F483" t="str">
        <x:v>Benguela</x:v>
      </x:c>
      <x:c r="G483" t="str">
        <x:v>Android</x:v>
      </x:c>
      <x:c r="H483" t="n">
        <x:v>8724</x:v>
      </x:c>
      <x:c r="I483" t="n">
        <x:v>346</x:v>
      </x:c>
      <x:c r="J483" t="n">
        <x:v>43</x:v>
      </x:c>
      <x:c r="K483" t="n">
        <x:v>28</x:v>
      </x:c>
      <x:c r="L483" t="n">
        <x:v>21</x:v>
      </x:c>
      <x:c r="M483" s="28" t="n">
        <x:v>48936061.8</x:v>
      </x:c>
      <x:c r="N483" s="28" t="n">
        <x:v>54630.07</x:v>
      </x:c>
      <x:c r="O483" s="30" t="n">
        <x:f>IFERROR(I483/H483,0)</x:f>
        <x:v>0.03966070609812013</x:v>
      </x:c>
      <x:c r="P483" s="30" t="n">
        <x:f>IFERROR(J483/I483,0)</x:f>
        <x:v>0.12427745664739884</x:v>
      </x:c>
      <x:c r="Q483" s="30" t="n">
        <x:f>IFERROR(K483/J483,0)</x:f>
        <x:v>0.6511627906976745</x:v>
      </x:c>
      <x:c r="R483" s="30" t="n">
        <x:f>IFERROR(L483/K483,0)</x:f>
        <x:v>0.75</x:v>
      </x:c>
      <x:c r="S483" s="28" t="n">
        <x:f>IFERROR(N483/J483,0)</x:f>
        <x:v>1270.4667441860465</x:v>
      </x:c>
      <x:c r="T483" s="28" t="n">
        <x:f>IFERROR(N483/K483,0)</x:f>
        <x:v>1951.0739285714285</x:v>
      </x:c>
      <x:c r="U483" s="28" t="n">
        <x:f>IFERROR(N483/L483,0)</x:f>
        <x:v>2601.4319047619047</x:v>
      </x:c>
    </x:row>
    <x:row r="484">
      <x:c r="A484" t="n">
        <x:v>483</x:v>
      </x:c>
      <x:c r="B484" s="26" t="n">
        <x:v>46143</x:v>
      </x:c>
      <x:c r="C484" t="str">
        <x:v>CPO_Digital_360</x:v>
      </x:c>
      <x:c r="D484" t="str">
        <x:v>TikTok Ads</x:v>
      </x:c>
      <x:c r="E484" t="str">
        <x:v>Jovem Profissional</x:v>
      </x:c>
      <x:c r="F484" t="str">
        <x:v>Luanda</x:v>
      </x:c>
      <x:c r="G484" t="str">
        <x:v>Desktop</x:v>
      </x:c>
      <x:c r="H484" t="n">
        <x:v>15194</x:v>
      </x:c>
      <x:c r="I484" t="n">
        <x:v>291</x:v>
      </x:c>
      <x:c r="J484" t="n">
        <x:v>22</x:v>
      </x:c>
      <x:c r="K484" t="n">
        <x:v>14</x:v>
      </x:c>
      <x:c r="L484" t="n">
        <x:v>8</x:v>
      </x:c>
      <x:c r="M484" s="28" t="n">
        <x:v>8764213.19</x:v>
      </x:c>
      <x:c r="N484" s="28" t="n">
        <x:v>43518.16</x:v>
      </x:c>
      <x:c r="O484" s="30" t="n">
        <x:f>IFERROR(I484/H484,0)</x:f>
        <x:v>0.01915229695932605</x:v>
      </x:c>
      <x:c r="P484" s="30" t="n">
        <x:f>IFERROR(J484/I484,0)</x:f>
        <x:v>0.07560137457044673</x:v>
      </x:c>
      <x:c r="Q484" s="30" t="n">
        <x:f>IFERROR(K484/J484,0)</x:f>
        <x:v>0.6363636363636364</x:v>
      </x:c>
      <x:c r="R484" s="30" t="n">
        <x:f>IFERROR(L484/K484,0)</x:f>
        <x:v>0.5714285714285714</x:v>
      </x:c>
      <x:c r="S484" s="28" t="n">
        <x:f>IFERROR(N484/J484,0)</x:f>
        <x:v>1978.098181818182</x:v>
      </x:c>
      <x:c r="T484" s="28" t="n">
        <x:f>IFERROR(N484/K484,0)</x:f>
        <x:v>3108.44</x:v>
      </x:c>
      <x:c r="U484" s="28" t="n">
        <x:f>IFERROR(N484/L484,0)</x:f>
        <x:v>5439.77</x:v>
      </x:c>
    </x:row>
    <x:row r="485">
      <x:c r="A485" t="n">
        <x:v>484</x:v>
      </x:c>
      <x:c r="B485" s="26" t="n">
        <x:v>46143</x:v>
      </x:c>
      <x:c r="C485" t="str">
        <x:v>CPO_Always_On</x:v>
      </x:c>
      <x:c r="D485" t="str">
        <x:v>Meta Ads</x:v>
      </x:c>
      <x:c r="E485" t="str">
        <x:v>Assalariado</x:v>
      </x:c>
      <x:c r="F485" t="str">
        <x:v>Benguela</x:v>
      </x:c>
      <x:c r="G485" t="str">
        <x:v>Android</x:v>
      </x:c>
      <x:c r="H485" t="n">
        <x:v>3644</x:v>
      </x:c>
      <x:c r="I485" t="n">
        <x:v>69</x:v>
      </x:c>
      <x:c r="J485" t="n">
        <x:v>9</x:v>
      </x:c>
      <x:c r="K485" t="n">
        <x:v>6</x:v>
      </x:c>
      <x:c r="L485" t="n">
        <x:v>4</x:v>
      </x:c>
      <x:c r="M485" s="28" t="n">
        <x:v>9085445.68</x:v>
      </x:c>
      <x:c r="N485" s="28" t="n">
        <x:v>12606.69</x:v>
      </x:c>
      <x:c r="O485" s="30" t="n">
        <x:f>IFERROR(I485/H485,0)</x:f>
        <x:v>0.01893523600439078</x:v>
      </x:c>
      <x:c r="P485" s="30" t="n">
        <x:f>IFERROR(J485/I485,0)</x:f>
        <x:v>0.13043478260869565</x:v>
      </x:c>
      <x:c r="Q485" s="30" t="n">
        <x:f>IFERROR(K485/J485,0)</x:f>
        <x:v>0.6666666666666666</x:v>
      </x:c>
      <x:c r="R485" s="30" t="n">
        <x:f>IFERROR(L485/K485,0)</x:f>
        <x:v>0.6666666666666666</x:v>
      </x:c>
      <x:c r="S485" s="28" t="n">
        <x:f>IFERROR(N485/J485,0)</x:f>
        <x:v>1400.7433333333333</x:v>
      </x:c>
      <x:c r="T485" s="28" t="n">
        <x:f>IFERROR(N485/K485,0)</x:f>
        <x:v>2101.1150000000002</x:v>
      </x:c>
      <x:c r="U485" s="28" t="n">
        <x:f>IFERROR(N485/L485,0)</x:f>
        <x:v>3151.6725</x:v>
      </x:c>
    </x:row>
    <x:row r="486">
      <x:c r="A486" t="n">
        <x:v>485</x:v>
      </x:c>
      <x:c r="B486" s="26" t="n">
        <x:v>46144</x:v>
      </x:c>
      <x:c r="C486" t="str">
        <x:v>CPO_Premium</x:v>
      </x:c>
      <x:c r="D486" t="str">
        <x:v>Google Ads</x:v>
      </x:c>
      <x:c r="E486" t="str">
        <x:v>Pequeno Negócio</x:v>
      </x:c>
      <x:c r="F486" t="str">
        <x:v>Huíla</x:v>
      </x:c>
      <x:c r="G486" t="str">
        <x:v>Android</x:v>
      </x:c>
      <x:c r="H486" t="n">
        <x:v>11486</x:v>
      </x:c>
      <x:c r="I486" t="n">
        <x:v>421</x:v>
      </x:c>
      <x:c r="J486" t="n">
        <x:v>52</x:v>
      </x:c>
      <x:c r="K486" t="n">
        <x:v>15</x:v>
      </x:c>
      <x:c r="L486" t="n">
        <x:v>4</x:v>
      </x:c>
      <x:c r="M486" s="28" t="n">
        <x:v>10663050.17</x:v>
      </x:c>
      <x:c r="N486" s="28" t="n">
        <x:v>27598.95</x:v>
      </x:c>
      <x:c r="O486" s="30" t="n">
        <x:f>IFERROR(I486/H486,0)</x:f>
        <x:v>0.03665331708166464</x:v>
      </x:c>
      <x:c r="P486" s="30" t="n">
        <x:f>IFERROR(J486/I486,0)</x:f>
        <x:v>0.12351543942992874</x:v>
      </x:c>
      <x:c r="Q486" s="30" t="n">
        <x:f>IFERROR(K486/J486,0)</x:f>
        <x:v>0.28846153846153844</x:v>
      </x:c>
      <x:c r="R486" s="30" t="n">
        <x:f>IFERROR(L486/K486,0)</x:f>
        <x:v>0.26666666666666666</x:v>
      </x:c>
      <x:c r="S486" s="28" t="n">
        <x:f>IFERROR(N486/J486,0)</x:f>
        <x:v>530.7490384615385</x:v>
      </x:c>
      <x:c r="T486" s="28" t="n">
        <x:f>IFERROR(N486/K486,0)</x:f>
        <x:v>1839.93</x:v>
      </x:c>
      <x:c r="U486" s="28" t="n">
        <x:f>IFERROR(N486/L486,0)</x:f>
        <x:v>6899.7375</x:v>
      </x:c>
    </x:row>
    <x:row r="487">
      <x:c r="A487" t="n">
        <x:v>486</x:v>
      </x:c>
      <x:c r="B487" s="26" t="n">
        <x:v>46144</x:v>
      </x:c>
      <x:c r="C487" t="str">
        <x:v>CPO_Fim_do_Mes</x:v>
      </x:c>
      <x:c r="D487" t="str">
        <x:v>Google Ads</x:v>
      </x:c>
      <x:c r="E487" t="str">
        <x:v>Assalariado</x:v>
      </x:c>
      <x:c r="F487" t="str">
        <x:v>Luanda</x:v>
      </x:c>
      <x:c r="G487" t="str">
        <x:v>Android</x:v>
      </x:c>
      <x:c r="H487" t="n">
        <x:v>16793</x:v>
      </x:c>
      <x:c r="I487" t="n">
        <x:v>551</x:v>
      </x:c>
      <x:c r="J487" t="n">
        <x:v>94</x:v>
      </x:c>
      <x:c r="K487" t="n">
        <x:v>61</x:v>
      </x:c>
      <x:c r="L487" t="n">
        <x:v>49</x:v>
      </x:c>
      <x:c r="M487" s="28" t="n">
        <x:v>123276434.26</x:v>
      </x:c>
      <x:c r="N487" s="28" t="n">
        <x:v>83238.7</x:v>
      </x:c>
      <x:c r="O487" s="30" t="n">
        <x:f>IFERROR(I487/H487,0)</x:f>
        <x:v>0.03281129041862681</x:v>
      </x:c>
      <x:c r="P487" s="30" t="n">
        <x:f>IFERROR(J487/I487,0)</x:f>
        <x:v>0.1705989110707804</x:v>
      </x:c>
      <x:c r="Q487" s="30" t="n">
        <x:f>IFERROR(K487/J487,0)</x:f>
        <x:v>0.648936170212766</x:v>
      </x:c>
      <x:c r="R487" s="30" t="n">
        <x:f>IFERROR(L487/K487,0)</x:f>
        <x:v>0.8032786885245902</x:v>
      </x:c>
      <x:c r="S487" s="28" t="n">
        <x:f>IFERROR(N487/J487,0)</x:f>
        <x:v>885.518085106383</x:v>
      </x:c>
      <x:c r="T487" s="28" t="n">
        <x:f>IFERROR(N487/K487,0)</x:f>
        <x:v>1364.5688524590164</x:v>
      </x:c>
      <x:c r="U487" s="28" t="n">
        <x:f>IFERROR(N487/L487,0)</x:f>
        <x:v>1698.7489795918366</x:v>
      </x:c>
    </x:row>
    <x:row r="488">
      <x:c r="A488" t="n">
        <x:v>487</x:v>
      </x:c>
      <x:c r="B488" s="26" t="n">
        <x:v>46144</x:v>
      </x:c>
      <x:c r="C488" t="str">
        <x:v>CPO_Digital_360</x:v>
      </x:c>
      <x:c r="D488" t="str">
        <x:v>E-mail</x:v>
      </x:c>
      <x:c r="E488" t="str">
        <x:v>Premium</x:v>
      </x:c>
      <x:c r="F488" t="str">
        <x:v>Benguela</x:v>
      </x:c>
      <x:c r="G488" t="str">
        <x:v>iOS</x:v>
      </x:c>
      <x:c r="H488" t="n">
        <x:v>9979</x:v>
      </x:c>
      <x:c r="I488" t="n">
        <x:v>514</x:v>
      </x:c>
      <x:c r="J488" t="n">
        <x:v>57</x:v>
      </x:c>
      <x:c r="K488" t="n">
        <x:v>40</x:v>
      </x:c>
      <x:c r="L488" t="n">
        <x:v>28</x:v>
      </x:c>
      <x:c r="M488" s="28" t="n">
        <x:v>147282664.91</x:v>
      </x:c>
      <x:c r="N488" s="28" t="n">
        <x:v>156286.78</x:v>
      </x:c>
      <x:c r="O488" s="30" t="n">
        <x:f>IFERROR(I488/H488,0)</x:f>
        <x:v>0.05150816715101714</x:v>
      </x:c>
      <x:c r="P488" s="30" t="n">
        <x:f>IFERROR(J488/I488,0)</x:f>
        <x:v>0.11089494163424124</x:v>
      </x:c>
      <x:c r="Q488" s="30" t="n">
        <x:f>IFERROR(K488/J488,0)</x:f>
        <x:v>0.7017543859649122</x:v>
      </x:c>
      <x:c r="R488" s="30" t="n">
        <x:f>IFERROR(L488/K488,0)</x:f>
        <x:v>0.7</x:v>
      </x:c>
      <x:c r="S488" s="28" t="n">
        <x:f>IFERROR(N488/J488,0)</x:f>
        <x:v>2741.8733333333334</x:v>
      </x:c>
      <x:c r="T488" s="28" t="n">
        <x:f>IFERROR(N488/K488,0)</x:f>
        <x:v>3907.1695</x:v>
      </x:c>
      <x:c r="U488" s="28" t="n">
        <x:f>IFERROR(N488/L488,0)</x:f>
        <x:v>5581.670714285714</x:v>
      </x:c>
    </x:row>
    <x:row r="489">
      <x:c r="A489" t="n">
        <x:v>488</x:v>
      </x:c>
      <x:c r="B489" s="26" t="n">
        <x:v>46144</x:v>
      </x:c>
      <x:c r="C489" t="str">
        <x:v>CPO_Fim_do_Mes</x:v>
      </x:c>
      <x:c r="D489" t="str">
        <x:v>Meta Ads</x:v>
      </x:c>
      <x:c r="E489" t="str">
        <x:v>Premium</x:v>
      </x:c>
      <x:c r="F489" t="str">
        <x:v>Huíla</x:v>
      </x:c>
      <x:c r="G489" t="str">
        <x:v>iOS</x:v>
      </x:c>
      <x:c r="H489" t="n">
        <x:v>17555</x:v>
      </x:c>
      <x:c r="I489" t="n">
        <x:v>352</x:v>
      </x:c>
      <x:c r="J489" t="n">
        <x:v>44</x:v>
      </x:c>
      <x:c r="K489" t="n">
        <x:v>34</x:v>
      </x:c>
      <x:c r="L489" t="n">
        <x:v>25</x:v>
      </x:c>
      <x:c r="M489" s="28" t="n">
        <x:v>130226311.36</x:v>
      </x:c>
      <x:c r="N489" s="28" t="n">
        <x:v>31967.09</x:v>
      </x:c>
      <x:c r="O489" s="30" t="n">
        <x:f>IFERROR(I489/H489,0)</x:f>
        <x:v>0.020051267445172317</x:v>
      </x:c>
      <x:c r="P489" s="30" t="n">
        <x:f>IFERROR(J489/I489,0)</x:f>
        <x:v>0.125</x:v>
      </x:c>
      <x:c r="Q489" s="30" t="n">
        <x:f>IFERROR(K489/J489,0)</x:f>
        <x:v>0.7727272727272727</x:v>
      </x:c>
      <x:c r="R489" s="30" t="n">
        <x:f>IFERROR(L489/K489,0)</x:f>
        <x:v>0.7352941176470589</x:v>
      </x:c>
      <x:c r="S489" s="28" t="n">
        <x:f>IFERROR(N489/J489,0)</x:f>
        <x:v>726.5247727272728</x:v>
      </x:c>
      <x:c r="T489" s="28" t="n">
        <x:f>IFERROR(N489/K489,0)</x:f>
        <x:v>940.2085294117647</x:v>
      </x:c>
      <x:c r="U489" s="28" t="n">
        <x:f>IFERROR(N489/L489,0)</x:f>
        <x:v>1278.6836</x:v>
      </x:c>
    </x:row>
    <x:row r="490">
      <x:c r="A490" t="n">
        <x:v>489</x:v>
      </x:c>
      <x:c r="B490" s="26" t="n">
        <x:v>46145</x:v>
      </x:c>
      <x:c r="C490" t="str">
        <x:v>CPO_Premium</x:v>
      </x:c>
      <x:c r="D490" t="str">
        <x:v>TikTok Ads</x:v>
      </x:c>
      <x:c r="E490" t="str">
        <x:v>Jovem Profissional</x:v>
      </x:c>
      <x:c r="F490" t="str">
        <x:v>Luanda</x:v>
      </x:c>
      <x:c r="G490" t="str">
        <x:v>iOS</x:v>
      </x:c>
      <x:c r="H490" t="n">
        <x:v>13205</x:v>
      </x:c>
      <x:c r="I490" t="n">
        <x:v>157</x:v>
      </x:c>
      <x:c r="J490" t="n">
        <x:v>13</x:v>
      </x:c>
      <x:c r="K490" t="n">
        <x:v>6</x:v>
      </x:c>
      <x:c r="L490" t="n">
        <x:v>3</x:v>
      </x:c>
      <x:c r="M490" s="28" t="n">
        <x:v>3767215.16</x:v>
      </x:c>
      <x:c r="N490" s="28" t="n">
        <x:v>8203.31</x:v>
      </x:c>
      <x:c r="O490" s="30" t="n">
        <x:f>IFERROR(I490/H490,0)</x:f>
        <x:v>0.01188943581976524</x:v>
      </x:c>
      <x:c r="P490" s="30" t="n">
        <x:f>IFERROR(J490/I490,0)</x:f>
        <x:v>0.08280254777070063</x:v>
      </x:c>
      <x:c r="Q490" s="30" t="n">
        <x:f>IFERROR(K490/J490,0)</x:f>
        <x:v>0.46153846153846156</x:v>
      </x:c>
      <x:c r="R490" s="30" t="n">
        <x:f>IFERROR(L490/K490,0)</x:f>
        <x:v>0.5</x:v>
      </x:c>
      <x:c r="S490" s="28" t="n">
        <x:f>IFERROR(N490/J490,0)</x:f>
        <x:v>631.0238461538461</x:v>
      </x:c>
      <x:c r="T490" s="28" t="n">
        <x:f>IFERROR(N490/K490,0)</x:f>
        <x:v>1367.2183333333332</x:v>
      </x:c>
      <x:c r="U490" s="28" t="n">
        <x:f>IFERROR(N490/L490,0)</x:f>
        <x:v>2734.4366666666665</x:v>
      </x:c>
    </x:row>
    <x:row r="491">
      <x:c r="A491" t="n">
        <x:v>490</x:v>
      </x:c>
      <x:c r="B491" s="26" t="n">
        <x:v>46145</x:v>
      </x:c>
      <x:c r="C491" t="str">
        <x:v>CPO_Always_On</x:v>
      </x:c>
      <x:c r="D491" t="str">
        <x:v>E-mail</x:v>
      </x:c>
      <x:c r="E491" t="str">
        <x:v>Pequeno Negócio</x:v>
      </x:c>
      <x:c r="F491" t="str">
        <x:v>Cuanza Sul</x:v>
      </x:c>
      <x:c r="G491" t="str">
        <x:v>Android</x:v>
      </x:c>
      <x:c r="H491" t="n">
        <x:v>8737</x:v>
      </x:c>
      <x:c r="I491" t="n">
        <x:v>513</x:v>
      </x:c>
      <x:c r="J491" t="n">
        <x:v>58</x:v>
      </x:c>
      <x:c r="K491" t="n">
        <x:v>24</x:v>
      </x:c>
      <x:c r="L491" t="n">
        <x:v>12</x:v>
      </x:c>
      <x:c r="M491" s="28" t="n">
        <x:v>34160643.12</x:v>
      </x:c>
      <x:c r="N491" s="28" t="n">
        <x:v>75496.93</x:v>
      </x:c>
      <x:c r="O491" s="30" t="n">
        <x:f>IFERROR(I491/H491,0)</x:f>
        <x:v>0.05871580634084926</x:v>
      </x:c>
      <x:c r="P491" s="30" t="n">
        <x:f>IFERROR(J491/I491,0)</x:f>
        <x:v>0.11306042884990253</x:v>
      </x:c>
      <x:c r="Q491" s="30" t="n">
        <x:f>IFERROR(K491/J491,0)</x:f>
        <x:v>0.41379310344827586</x:v>
      </x:c>
      <x:c r="R491" s="30" t="n">
        <x:f>IFERROR(L491/K491,0)</x:f>
        <x:v>0.5</x:v>
      </x:c>
      <x:c r="S491" s="28" t="n">
        <x:f>IFERROR(N491/J491,0)</x:f>
        <x:v>1301.6712068965517</x:v>
      </x:c>
      <x:c r="T491" s="28" t="n">
        <x:f>IFERROR(N491/K491,0)</x:f>
        <x:v>3145.705416666666</x:v>
      </x:c>
      <x:c r="U491" s="28" t="n">
        <x:f>IFERROR(N491/L491,0)</x:f>
        <x:v>6291.410833333332</x:v>
      </x:c>
    </x:row>
    <x:row r="492">
      <x:c r="A492" t="n">
        <x:v>491</x:v>
      </x:c>
      <x:c r="B492" s="26" t="n">
        <x:v>46145</x:v>
      </x:c>
      <x:c r="C492" t="str">
        <x:v>CPO_Fim_do_Mes</x:v>
      </x:c>
      <x:c r="D492" t="str">
        <x:v>SMS</x:v>
      </x:c>
      <x:c r="E492" t="str">
        <x:v>Premium</x:v>
      </x:c>
      <x:c r="F492" t="str">
        <x:v>Malanje</x:v>
      </x:c>
      <x:c r="G492" t="str">
        <x:v>Android</x:v>
      </x:c>
      <x:c r="H492" t="n">
        <x:v>10526</x:v>
      </x:c>
      <x:c r="I492" t="n">
        <x:v>585</x:v>
      </x:c>
      <x:c r="J492" t="n">
        <x:v>65</x:v>
      </x:c>
      <x:c r="K492" t="n">
        <x:v>47</x:v>
      </x:c>
      <x:c r="L492" t="n">
        <x:v>34</x:v>
      </x:c>
      <x:c r="M492" s="28" t="n">
        <x:v>159545269.36</x:v>
      </x:c>
      <x:c r="N492" s="28" t="n">
        <x:v>180854.76</x:v>
      </x:c>
      <x:c r="O492" s="30" t="n">
        <x:f>IFERROR(I492/H492,0)</x:f>
        <x:v>0.055576667300019</x:v>
      </x:c>
      <x:c r="P492" s="30" t="n">
        <x:f>IFERROR(J492/I492,0)</x:f>
        <x:v>0.1111111111111111</x:v>
      </x:c>
      <x:c r="Q492" s="30" t="n">
        <x:f>IFERROR(K492/J492,0)</x:f>
        <x:v>0.7230769230769231</x:v>
      </x:c>
      <x:c r="R492" s="30" t="n">
        <x:f>IFERROR(L492/K492,0)</x:f>
        <x:v>0.723404255319149</x:v>
      </x:c>
      <x:c r="S492" s="28" t="n">
        <x:f>IFERROR(N492/J492,0)</x:f>
        <x:v>2782.3809230769234</x:v>
      </x:c>
      <x:c r="T492" s="28" t="n">
        <x:f>IFERROR(N492/K492,0)</x:f>
        <x:v>3847.973617021277</x:v>
      </x:c>
      <x:c r="U492" s="28" t="n">
        <x:f>IFERROR(N492/L492,0)</x:f>
        <x:v>5319.257647058824</x:v>
      </x:c>
    </x:row>
    <x:row r="493">
      <x:c r="A493" t="n">
        <x:v>492</x:v>
      </x:c>
      <x:c r="B493" s="26" t="n">
        <x:v>46146</x:v>
      </x:c>
      <x:c r="C493" t="str">
        <x:v>CPO_Premium</x:v>
      </x:c>
      <x:c r="D493" t="str">
        <x:v>Meta Ads</x:v>
      </x:c>
      <x:c r="E493" t="str">
        <x:v>Pequeno Negócio</x:v>
      </x:c>
      <x:c r="F493" t="str">
        <x:v>Luanda</x:v>
      </x:c>
      <x:c r="G493" t="str">
        <x:v>Android</x:v>
      </x:c>
      <x:c r="H493" t="n">
        <x:v>26918</x:v>
      </x:c>
      <x:c r="I493" t="n">
        <x:v>354</x:v>
      </x:c>
      <x:c r="J493" t="n">
        <x:v>33</x:v>
      </x:c>
      <x:c r="K493" t="n">
        <x:v>11</x:v>
      </x:c>
      <x:c r="L493" t="n">
        <x:v>4</x:v>
      </x:c>
      <x:c r="M493" s="28" t="n">
        <x:v>11137976.28</x:v>
      </x:c>
      <x:c r="N493" s="28" t="n">
        <x:v>43671.19</x:v>
      </x:c>
      <x:c r="O493" s="30" t="n">
        <x:f>IFERROR(I493/H493,0)</x:f>
        <x:v>0.013151051341110038</x:v>
      </x:c>
      <x:c r="P493" s="30" t="n">
        <x:f>IFERROR(J493/I493,0)</x:f>
        <x:v>0.09322033898305085</x:v>
      </x:c>
      <x:c r="Q493" s="30" t="n">
        <x:f>IFERROR(K493/J493,0)</x:f>
        <x:v>0.3333333333333333</x:v>
      </x:c>
      <x:c r="R493" s="30" t="n">
        <x:f>IFERROR(L493/K493,0)</x:f>
        <x:v>0.36363636363636365</x:v>
      </x:c>
      <x:c r="S493" s="28" t="n">
        <x:f>IFERROR(N493/J493,0)</x:f>
        <x:v>1323.369393939394</x:v>
      </x:c>
      <x:c r="T493" s="28" t="n">
        <x:f>IFERROR(N493/K493,0)</x:f>
        <x:v>3970.108181818182</x:v>
      </x:c>
      <x:c r="U493" s="28" t="n">
        <x:f>IFERROR(N493/L493,0)</x:f>
        <x:v>10917.7975</x:v>
      </x:c>
    </x:row>
    <x:row r="494">
      <x:c r="A494" t="n">
        <x:v>493</x:v>
      </x:c>
      <x:c r="B494" s="26" t="n">
        <x:v>46146</x:v>
      </x:c>
      <x:c r="C494" t="str">
        <x:v>CPO_Acesso_Rapido</x:v>
      </x:c>
      <x:c r="D494" t="str">
        <x:v>BAI Directo/App</x:v>
      </x:c>
      <x:c r="E494" t="str">
        <x:v>Pequeno Negócio</x:v>
      </x:c>
      <x:c r="F494" t="str">
        <x:v>Uíge</x:v>
      </x:c>
      <x:c r="G494" t="str">
        <x:v>Android</x:v>
      </x:c>
      <x:c r="H494" t="n">
        <x:v>8471</x:v>
      </x:c>
      <x:c r="I494" t="n">
        <x:v>1114</x:v>
      </x:c>
      <x:c r="J494" t="n">
        <x:v>237</x:v>
      </x:c>
      <x:c r="K494" t="n">
        <x:v>92</x:v>
      </x:c>
      <x:c r="L494" t="n">
        <x:v>42</x:v>
      </x:c>
      <x:c r="M494" s="28" t="n">
        <x:v>119642824.79</x:v>
      </x:c>
      <x:c r="N494" s="28" t="n">
        <x:v>99771.58</x:v>
      </x:c>
      <x:c r="O494" s="30" t="n">
        <x:f>IFERROR(I494/H494,0)</x:f>
        <x:v>0.13150749616338095</x:v>
      </x:c>
      <x:c r="P494" s="30" t="n">
        <x:f>IFERROR(J494/I494,0)</x:f>
        <x:v>0.2127468581687612</x:v>
      </x:c>
      <x:c r="Q494" s="30" t="n">
        <x:f>IFERROR(K494/J494,0)</x:f>
        <x:v>0.3881856540084388</x:v>
      </x:c>
      <x:c r="R494" s="30" t="n">
        <x:f>IFERROR(L494/K494,0)</x:f>
        <x:v>0.45652173913043476</x:v>
      </x:c>
      <x:c r="S494" s="28" t="n">
        <x:f>IFERROR(N494/J494,0)</x:f>
        <x:v>420.9771308016878</x:v>
      </x:c>
      <x:c r="T494" s="28" t="n">
        <x:f>IFERROR(N494/K494,0)</x:f>
        <x:v>1084.473695652174</x:v>
      </x:c>
      <x:c r="U494" s="28" t="n">
        <x:f>IFERROR(N494/L494,0)</x:f>
        <x:v>2375.5138095238094</x:v>
      </x:c>
    </x:row>
    <x:row r="495">
      <x:c r="A495" t="n">
        <x:v>494</x:v>
      </x:c>
      <x:c r="B495" s="26" t="n">
        <x:v>46146</x:v>
      </x:c>
      <x:c r="C495" t="str">
        <x:v>CPO_Digital_360</x:v>
      </x:c>
      <x:c r="D495" t="str">
        <x:v>Google Ads</x:v>
      </x:c>
      <x:c r="E495" t="str">
        <x:v>Premium</x:v>
      </x:c>
      <x:c r="F495" t="str">
        <x:v>Luanda</x:v>
      </x:c>
      <x:c r="G495" t="str">
        <x:v>iOS</x:v>
      </x:c>
      <x:c r="H495" t="n">
        <x:v>26896</x:v>
      </x:c>
      <x:c r="I495" t="n">
        <x:v>528</x:v>
      </x:c>
      <x:c r="J495" t="n">
        <x:v>84</x:v>
      </x:c>
      <x:c r="K495" t="n">
        <x:v>62</x:v>
      </x:c>
      <x:c r="L495" t="n">
        <x:v>41</x:v>
      </x:c>
      <x:c r="M495" s="28" t="n">
        <x:v>211478265.74</x:v>
      </x:c>
      <x:c r="N495" s="28" t="n">
        <x:v>76602.26</x:v>
      </x:c>
      <x:c r="O495" s="30" t="n">
        <x:f>IFERROR(I495/H495,0)</x:f>
        <x:v>0.019631171921475312</x:v>
      </x:c>
      <x:c r="P495" s="30" t="n">
        <x:f>IFERROR(J495/I495,0)</x:f>
        <x:v>0.1590909090909091</x:v>
      </x:c>
      <x:c r="Q495" s="30" t="n">
        <x:f>IFERROR(K495/J495,0)</x:f>
        <x:v>0.7380952380952381</x:v>
      </x:c>
      <x:c r="R495" s="30" t="n">
        <x:f>IFERROR(L495/K495,0)</x:f>
        <x:v>0.6612903225806451</x:v>
      </x:c>
      <x:c r="S495" s="28" t="n">
        <x:f>IFERROR(N495/J495,0)</x:f>
        <x:v>911.9316666666666</x:v>
      </x:c>
      <x:c r="T495" s="28" t="n">
        <x:f>IFERROR(N495/K495,0)</x:f>
        <x:v>1235.5203225806451</x:v>
      </x:c>
      <x:c r="U495" s="28" t="n">
        <x:f>IFERROR(N495/L495,0)</x:f>
        <x:v>1868.3478048780487</x:v>
      </x:c>
    </x:row>
    <x:row r="496">
      <x:c r="A496" t="n">
        <x:v>495</x:v>
      </x:c>
      <x:c r="B496" s="26" t="n">
        <x:v>46146</x:v>
      </x:c>
      <x:c r="C496" t="str">
        <x:v>CPO_Digital_360</x:v>
      </x:c>
      <x:c r="D496" t="str">
        <x:v>E-mail</x:v>
      </x:c>
      <x:c r="E496" t="str">
        <x:v>Pequeno Negócio</x:v>
      </x:c>
      <x:c r="F496" t="str">
        <x:v>Luanda</x:v>
      </x:c>
      <x:c r="G496" t="str">
        <x:v>Android</x:v>
      </x:c>
      <x:c r="H496" t="n">
        <x:v>4864</x:v>
      </x:c>
      <x:c r="I496" t="n">
        <x:v>255</x:v>
      </x:c>
      <x:c r="J496" t="n">
        <x:v>26</x:v>
      </x:c>
      <x:c r="K496" t="n">
        <x:v>11</x:v>
      </x:c>
      <x:c r="L496" t="n">
        <x:v>6</x:v>
      </x:c>
      <x:c r="M496" s="28" t="n">
        <x:v>17557597.35</x:v>
      </x:c>
      <x:c r="N496" s="28" t="n">
        <x:v>35888.93</x:v>
      </x:c>
      <x:c r="O496" s="30" t="n">
        <x:f>IFERROR(I496/H496,0)</x:f>
        <x:v>0.05242598684210526</x:v>
      </x:c>
      <x:c r="P496" s="30" t="n">
        <x:f>IFERROR(J496/I496,0)</x:f>
        <x:v>0.10196078431372549</x:v>
      </x:c>
      <x:c r="Q496" s="30" t="n">
        <x:f>IFERROR(K496/J496,0)</x:f>
        <x:v>0.4230769230769231</x:v>
      </x:c>
      <x:c r="R496" s="30" t="n">
        <x:f>IFERROR(L496/K496,0)</x:f>
        <x:v>0.5454545454545454</x:v>
      </x:c>
      <x:c r="S496" s="28" t="n">
        <x:f>IFERROR(N496/J496,0)</x:f>
        <x:v>1380.3434615384615</x:v>
      </x:c>
      <x:c r="T496" s="28" t="n">
        <x:f>IFERROR(N496/K496,0)</x:f>
        <x:v>3262.63</x:v>
      </x:c>
      <x:c r="U496" s="28" t="n">
        <x:f>IFERROR(N496/L496,0)</x:f>
        <x:v>5981.488333333334</x:v>
      </x:c>
    </x:row>
    <x:row r="497">
      <x:c r="A497" t="n">
        <x:v>496</x:v>
      </x:c>
      <x:c r="B497" s="26" t="n">
        <x:v>46146</x:v>
      </x:c>
      <x:c r="C497" t="str">
        <x:v>CPO_Premium</x:v>
      </x:c>
      <x:c r="D497" t="str">
        <x:v>BAI Directo/App</x:v>
      </x:c>
      <x:c r="E497" t="str">
        <x:v>Jovem Profissional</x:v>
      </x:c>
      <x:c r="F497" t="str">
        <x:v>Luanda</x:v>
      </x:c>
      <x:c r="G497" t="str">
        <x:v>Android</x:v>
      </x:c>
      <x:c r="H497" t="n">
        <x:v>7053</x:v>
      </x:c>
      <x:c r="I497" t="n">
        <x:v>906</x:v>
      </x:c>
      <x:c r="J497" t="n">
        <x:v>193</x:v>
      </x:c>
      <x:c r="K497" t="n">
        <x:v>120</x:v>
      </x:c>
      <x:c r="L497" t="n">
        <x:v>72</x:v>
      </x:c>
      <x:c r="M497" s="28" t="n">
        <x:v>96128138.01</x:v>
      </x:c>
      <x:c r="N497" s="28" t="n">
        <x:v>101936.8</x:v>
      </x:c>
      <x:c r="O497" s="30" t="n">
        <x:f>IFERROR(I497/H497,0)</x:f>
        <x:v>0.1284559761803488</x:v>
      </x:c>
      <x:c r="P497" s="30" t="n">
        <x:f>IFERROR(J497/I497,0)</x:f>
        <x:v>0.2130242825607064</x:v>
      </x:c>
      <x:c r="Q497" s="30" t="n">
        <x:f>IFERROR(K497/J497,0)</x:f>
        <x:v>0.6217616580310881</x:v>
      </x:c>
      <x:c r="R497" s="30" t="n">
        <x:f>IFERROR(L497/K497,0)</x:f>
        <x:v>0.6</x:v>
      </x:c>
      <x:c r="S497" s="28" t="n">
        <x:f>IFERROR(N497/J497,0)</x:f>
        <x:v>528.1699481865285</x:v>
      </x:c>
      <x:c r="T497" s="28" t="n">
        <x:f>IFERROR(N497/K497,0)</x:f>
        <x:v>849.4733333333334</x:v>
      </x:c>
      <x:c r="U497" s="28" t="n">
        <x:f>IFERROR(N497/L497,0)</x:f>
        <x:v>1415.788888888889</x:v>
      </x:c>
    </x:row>
    <x:row r="498">
      <x:c r="A498" t="n">
        <x:v>497</x:v>
      </x:c>
      <x:c r="B498" s="26" t="n">
        <x:v>46147</x:v>
      </x:c>
      <x:c r="C498" t="str">
        <x:v>CPO_Digital_360</x:v>
      </x:c>
      <x:c r="D498" t="str">
        <x:v>E-mail</x:v>
      </x:c>
      <x:c r="E498" t="str">
        <x:v>Pequeno Negócio</x:v>
      </x:c>
      <x:c r="F498" t="str">
        <x:v>Benguela</x:v>
      </x:c>
      <x:c r="G498" t="str">
        <x:v>Android</x:v>
      </x:c>
      <x:c r="H498" t="n">
        <x:v>6644</x:v>
      </x:c>
      <x:c r="I498" t="n">
        <x:v>450</x:v>
      </x:c>
      <x:c r="J498" t="n">
        <x:v>55</x:v>
      </x:c>
      <x:c r="K498" t="n">
        <x:v>28</x:v>
      </x:c>
      <x:c r="L498" t="n">
        <x:v>16</x:v>
      </x:c>
      <x:c r="M498" s="28" t="n">
        <x:v>46230630.41</x:v>
      </x:c>
      <x:c r="N498" s="28" t="n">
        <x:v>96238.33</x:v>
      </x:c>
      <x:c r="O498" s="30" t="n">
        <x:f>IFERROR(I498/H498,0)</x:f>
        <x:v>0.06773028296207104</x:v>
      </x:c>
      <x:c r="P498" s="30" t="n">
        <x:f>IFERROR(J498/I498,0)</x:f>
        <x:v>0.12222222222222222</x:v>
      </x:c>
      <x:c r="Q498" s="30" t="n">
        <x:f>IFERROR(K498/J498,0)</x:f>
        <x:v>0.509090909090909</x:v>
      </x:c>
      <x:c r="R498" s="30" t="n">
        <x:f>IFERROR(L498/K498,0)</x:f>
        <x:v>0.5714285714285714</x:v>
      </x:c>
      <x:c r="S498" s="28" t="n">
        <x:f>IFERROR(N498/J498,0)</x:f>
        <x:v>1749.7878181818182</x:v>
      </x:c>
      <x:c r="T498" s="28" t="n">
        <x:f>IFERROR(N498/K498,0)</x:f>
        <x:v>3437.0832142857143</x:v>
      </x:c>
      <x:c r="U498" s="28" t="n">
        <x:f>IFERROR(N498/L498,0)</x:f>
        <x:v>6014.895625</x:v>
      </x:c>
    </x:row>
    <x:row r="499">
      <x:c r="A499" t="n">
        <x:v>498</x:v>
      </x:c>
      <x:c r="B499" s="26" t="n">
        <x:v>46147</x:v>
      </x:c>
      <x:c r="C499" t="str">
        <x:v>CPO_Fim_do_Mes</x:v>
      </x:c>
      <x:c r="D499" t="str">
        <x:v>Meta Ads</x:v>
      </x:c>
      <x:c r="E499" t="str">
        <x:v>Jovem Profissional</x:v>
      </x:c>
      <x:c r="F499" t="str">
        <x:v>Luanda</x:v>
      </x:c>
      <x:c r="G499" t="str">
        <x:v>Android</x:v>
      </x:c>
      <x:c r="H499" t="n">
        <x:v>27403</x:v>
      </x:c>
      <x:c r="I499" t="n">
        <x:v>342</x:v>
      </x:c>
      <x:c r="J499" t="n">
        <x:v>35</x:v>
      </x:c>
      <x:c r="K499" t="n">
        <x:v>19</x:v>
      </x:c>
      <x:c r="L499" t="n">
        <x:v>9</x:v>
      </x:c>
      <x:c r="M499" s="28" t="n">
        <x:v>11574594.25</x:v>
      </x:c>
      <x:c r="N499" s="28" t="n">
        <x:v>56519.95</x:v>
      </x:c>
      <x:c r="O499" s="30" t="n">
        <x:f>IFERROR(I499/H499,0)</x:f>
        <x:v>0.012480385359267234</x:v>
      </x:c>
      <x:c r="P499" s="30" t="n">
        <x:f>IFERROR(J499/I499,0)</x:f>
        <x:v>0.1023391812865497</x:v>
      </x:c>
      <x:c r="Q499" s="30" t="n">
        <x:f>IFERROR(K499/J499,0)</x:f>
        <x:v>0.5428571428571428</x:v>
      </x:c>
      <x:c r="R499" s="30" t="n">
        <x:f>IFERROR(L499/K499,0)</x:f>
        <x:v>0.47368421052631576</x:v>
      </x:c>
      <x:c r="S499" s="28" t="n">
        <x:f>IFERROR(N499/J499,0)</x:f>
        <x:v>1614.8557142857142</x:v>
      </x:c>
      <x:c r="T499" s="28" t="n">
        <x:f>IFERROR(N499/K499,0)</x:f>
        <x:v>2974.7342105263156</x:v>
      </x:c>
      <x:c r="U499" s="28" t="n">
        <x:f>IFERROR(N499/L499,0)</x:f>
        <x:v>6279.9944444444445</x:v>
      </x:c>
    </x:row>
    <x:row r="500">
      <x:c r="A500" t="n">
        <x:v>499</x:v>
      </x:c>
      <x:c r="B500" s="26" t="n">
        <x:v>46147</x:v>
      </x:c>
      <x:c r="C500" t="str">
        <x:v>CPO_Fim_do_Mes</x:v>
      </x:c>
      <x:c r="D500" t="str">
        <x:v>Meta Ads</x:v>
      </x:c>
      <x:c r="E500" t="str">
        <x:v>Jovem Profissional</x:v>
      </x:c>
      <x:c r="F500" t="str">
        <x:v>Huambo</x:v>
      </x:c>
      <x:c r="G500" t="str">
        <x:v>Android</x:v>
      </x:c>
      <x:c r="H500" t="n">
        <x:v>6193</x:v>
      </x:c>
      <x:c r="I500" t="n">
        <x:v>140</x:v>
      </x:c>
      <x:c r="J500" t="n">
        <x:v>14</x:v>
      </x:c>
      <x:c r="K500" t="n">
        <x:v>6</x:v>
      </x:c>
      <x:c r="L500" t="n">
        <x:v>3</x:v>
      </x:c>
      <x:c r="M500" s="28" t="n">
        <x:v>3463994.03</x:v>
      </x:c>
      <x:c r="N500" s="28" t="n">
        <x:v>13378.22</x:v>
      </x:c>
      <x:c r="O500" s="30" t="n">
        <x:f>IFERROR(I500/H500,0)</x:f>
        <x:v>0.022606168254480866</x:v>
      </x:c>
      <x:c r="P500" s="30" t="n">
        <x:f>IFERROR(J500/I500,0)</x:f>
        <x:v>0.1</x:v>
      </x:c>
      <x:c r="Q500" s="30" t="n">
        <x:f>IFERROR(K500/J500,0)</x:f>
        <x:v>0.42857142857142855</x:v>
      </x:c>
      <x:c r="R500" s="30" t="n">
        <x:f>IFERROR(L500/K500,0)</x:f>
        <x:v>0.5</x:v>
      </x:c>
      <x:c r="S500" s="28" t="n">
        <x:f>IFERROR(N500/J500,0)</x:f>
        <x:v>955.5871428571428</x:v>
      </x:c>
      <x:c r="T500" s="28" t="n">
        <x:f>IFERROR(N500/K500,0)</x:f>
        <x:v>2229.7033333333334</x:v>
      </x:c>
      <x:c r="U500" s="28" t="n">
        <x:f>IFERROR(N500/L500,0)</x:f>
        <x:v>4459.406666666667</x:v>
      </x:c>
    </x:row>
    <x:row r="501">
      <x:c r="A501" t="n">
        <x:v>500</x:v>
      </x:c>
      <x:c r="B501" s="26" t="n">
        <x:v>46147</x:v>
      </x:c>
      <x:c r="C501" t="str">
        <x:v>CPO_Salario</x:v>
      </x:c>
      <x:c r="D501" t="str">
        <x:v>Google Ads</x:v>
      </x:c>
      <x:c r="E501" t="str">
        <x:v>Assalariado</x:v>
      </x:c>
      <x:c r="F501" t="str">
        <x:v>Uíge</x:v>
      </x:c>
      <x:c r="G501" t="str">
        <x:v>Android</x:v>
      </x:c>
      <x:c r="H501" t="n">
        <x:v>10123</x:v>
      </x:c>
      <x:c r="I501" t="n">
        <x:v>294</x:v>
      </x:c>
      <x:c r="J501" t="n">
        <x:v>56</x:v>
      </x:c>
      <x:c r="K501" t="n">
        <x:v>35</x:v>
      </x:c>
      <x:c r="L501" t="n">
        <x:v>23</x:v>
      </x:c>
      <x:c r="M501" s="28" t="n">
        <x:v>51752314.9</x:v>
      </x:c>
      <x:c r="N501" s="28" t="n">
        <x:v>36420.13</x:v>
      </x:c>
      <x:c r="O501" s="30" t="n">
        <x:f>IFERROR(I501/H501,0)</x:f>
        <x:v>0.029042773881260496</x:v>
      </x:c>
      <x:c r="P501" s="30" t="n">
        <x:f>IFERROR(J501/I501,0)</x:f>
        <x:v>0.19047619047619047</x:v>
      </x:c>
      <x:c r="Q501" s="30" t="n">
        <x:f>IFERROR(K501/J501,0)</x:f>
        <x:v>0.625</x:v>
      </x:c>
      <x:c r="R501" s="30" t="n">
        <x:f>IFERROR(L501/K501,0)</x:f>
        <x:v>0.6571428571428571</x:v>
      </x:c>
      <x:c r="S501" s="28" t="n">
        <x:f>IFERROR(N501/J501,0)</x:f>
        <x:v>650.3594642857142</x:v>
      </x:c>
      <x:c r="T501" s="28" t="n">
        <x:f>IFERROR(N501/K501,0)</x:f>
        <x:v>1040.5751428571427</x:v>
      </x:c>
      <x:c r="U501" s="28" t="n">
        <x:f>IFERROR(N501/L501,0)</x:f>
        <x:v>1583.4839130434782</x:v>
      </x:c>
    </x:row>
    <x:row r="502">
      <x:c r="A502" t="n">
        <x:v>501</x:v>
      </x:c>
      <x:c r="B502" s="26" t="n">
        <x:v>46148</x:v>
      </x:c>
      <x:c r="C502" t="str">
        <x:v>CPO_Salario</x:v>
      </x:c>
      <x:c r="D502" t="str">
        <x:v>Meta Ads</x:v>
      </x:c>
      <x:c r="E502" t="str">
        <x:v>Pequeno Negócio</x:v>
      </x:c>
      <x:c r="F502" t="str">
        <x:v>Huambo</x:v>
      </x:c>
      <x:c r="G502" t="str">
        <x:v>Android</x:v>
      </x:c>
      <x:c r="H502" t="n">
        <x:v>26892</x:v>
      </x:c>
      <x:c r="I502" t="n">
        <x:v>444</x:v>
      </x:c>
      <x:c r="J502" t="n">
        <x:v>53</x:v>
      </x:c>
      <x:c r="K502" t="n">
        <x:v>27</x:v>
      </x:c>
      <x:c r="L502" t="n">
        <x:v>12</x:v>
      </x:c>
      <x:c r="M502" s="28" t="n">
        <x:v>39263704.73</x:v>
      </x:c>
      <x:c r="N502" s="28" t="n">
        <x:v>54331.2</x:v>
      </x:c>
      <x:c r="O502" s="30" t="n">
        <x:f>IFERROR(I502/H502,0)</x:f>
        <x:v>0.01651048639000446</x:v>
      </x:c>
      <x:c r="P502" s="30" t="n">
        <x:f>IFERROR(J502/I502,0)</x:f>
        <x:v>0.11936936936936937</x:v>
      </x:c>
      <x:c r="Q502" s="30" t="n">
        <x:f>IFERROR(K502/J502,0)</x:f>
        <x:v>0.5094339622641509</x:v>
      </x:c>
      <x:c r="R502" s="30" t="n">
        <x:f>IFERROR(L502/K502,0)</x:f>
        <x:v>0.4444444444444444</x:v>
      </x:c>
      <x:c r="S502" s="28" t="n">
        <x:f>IFERROR(N502/J502,0)</x:f>
        <x:v>1025.1169811320754</x:v>
      </x:c>
      <x:c r="T502" s="28" t="n">
        <x:f>IFERROR(N502/K502,0)</x:f>
        <x:v>2012.2666666666667</x:v>
      </x:c>
      <x:c r="U502" s="28" t="n">
        <x:f>IFERROR(N502/L502,0)</x:f>
        <x:v>4527.599999999999</x:v>
      </x:c>
    </x:row>
    <x:row r="503">
      <x:c r="A503" t="n">
        <x:v>502</x:v>
      </x:c>
      <x:c r="B503" s="26" t="n">
        <x:v>46148</x:v>
      </x:c>
      <x:c r="C503" t="str">
        <x:v>CPO_Fim_do_Mes</x:v>
      </x:c>
      <x:c r="D503" t="str">
        <x:v>E-mail</x:v>
      </x:c>
      <x:c r="E503" t="str">
        <x:v>Assalariado</x:v>
      </x:c>
      <x:c r="F503" t="str">
        <x:v>Luanda</x:v>
      </x:c>
      <x:c r="G503" t="str">
        <x:v>Android</x:v>
      </x:c>
      <x:c r="H503" t="n">
        <x:v>7971</x:v>
      </x:c>
      <x:c r="I503" t="n">
        <x:v>515</x:v>
      </x:c>
      <x:c r="J503" t="n">
        <x:v>57</x:v>
      </x:c>
      <x:c r="K503" t="n">
        <x:v>39</x:v>
      </x:c>
      <x:c r="L503" t="n">
        <x:v>26</x:v>
      </x:c>
      <x:c r="M503" s="28" t="n">
        <x:v>60315521.95</x:v>
      </x:c>
      <x:c r="N503" s="28" t="n">
        <x:v>119389.25</x:v>
      </x:c>
      <x:c r="O503" s="30" t="n">
        <x:f>IFERROR(I503/H503,0)</x:f>
        <x:v>0.06460920838037887</x:v>
      </x:c>
      <x:c r="P503" s="30" t="n">
        <x:f>IFERROR(J503/I503,0)</x:f>
        <x:v>0.11067961165048544</x:v>
      </x:c>
      <x:c r="Q503" s="30" t="n">
        <x:f>IFERROR(K503/J503,0)</x:f>
        <x:v>0.6842105263157895</x:v>
      </x:c>
      <x:c r="R503" s="30" t="n">
        <x:f>IFERROR(L503/K503,0)</x:f>
        <x:v>0.6666666666666666</x:v>
      </x:c>
      <x:c r="S503" s="28" t="n">
        <x:f>IFERROR(N503/J503,0)</x:f>
        <x:v>2094.5482456140353</x:v>
      </x:c>
      <x:c r="T503" s="28" t="n">
        <x:f>IFERROR(N503/K503,0)</x:f>
        <x:v>3061.2628205128203</x:v>
      </x:c>
      <x:c r="U503" s="28" t="n">
        <x:f>IFERROR(N503/L503,0)</x:f>
        <x:v>4591.8942307692305</x:v>
      </x:c>
    </x:row>
    <x:row r="504">
      <x:c r="A504" t="n">
        <x:v>503</x:v>
      </x:c>
      <x:c r="B504" s="26" t="n">
        <x:v>46148</x:v>
      </x:c>
      <x:c r="C504" t="str">
        <x:v>CPO_Acesso_Rapido</x:v>
      </x:c>
      <x:c r="D504" t="str">
        <x:v>Google Ads</x:v>
      </x:c>
      <x:c r="E504" t="str">
        <x:v>Pequeno Negócio</x:v>
      </x:c>
      <x:c r="F504" t="str">
        <x:v>Benguela</x:v>
      </x:c>
      <x:c r="G504" t="str">
        <x:v>Android</x:v>
      </x:c>
      <x:c r="H504" t="n">
        <x:v>23941</x:v>
      </x:c>
      <x:c r="I504" t="n">
        <x:v>650</x:v>
      </x:c>
      <x:c r="J504" t="n">
        <x:v>107</x:v>
      </x:c>
      <x:c r="K504" t="n">
        <x:v>54</x:v>
      </x:c>
      <x:c r="L504" t="n">
        <x:v>30</x:v>
      </x:c>
      <x:c r="M504" s="28" t="n">
        <x:v>89132845.35</x:v>
      </x:c>
      <x:c r="N504" s="28" t="n">
        <x:v>46560.63</x:v>
      </x:c>
      <x:c r="O504" s="30" t="n">
        <x:f>IFERROR(I504/H504,0)</x:f>
        <x:v>0.027150077273296856</x:v>
      </x:c>
      <x:c r="P504" s="30" t="n">
        <x:f>IFERROR(J504/I504,0)</x:f>
        <x:v>0.1646153846153846</x:v>
      </x:c>
      <x:c r="Q504" s="30" t="n">
        <x:f>IFERROR(K504/J504,0)</x:f>
        <x:v>0.5046728971962616</x:v>
      </x:c>
      <x:c r="R504" s="30" t="n">
        <x:f>IFERROR(L504/K504,0)</x:f>
        <x:v>0.5555555555555556</x:v>
      </x:c>
      <x:c r="S504" s="28" t="n">
        <x:f>IFERROR(N504/J504,0)</x:f>
        <x:v>435.1460747663551</x:v>
      </x:c>
      <x:c r="T504" s="28" t="n">
        <x:f>IFERROR(N504/K504,0)</x:f>
        <x:v>862.2338888888888</x:v>
      </x:c>
      <x:c r="U504" s="28" t="n">
        <x:f>IFERROR(N504/L504,0)</x:f>
        <x:v>1552.021</x:v>
      </x:c>
    </x:row>
    <x:row r="505">
      <x:c r="A505" t="n">
        <x:v>504</x:v>
      </x:c>
      <x:c r="B505" s="26" t="n">
        <x:v>46148</x:v>
      </x:c>
      <x:c r="C505" t="str">
        <x:v>CPO_Digital_360</x:v>
      </x:c>
      <x:c r="D505" t="str">
        <x:v>Google Ads</x:v>
      </x:c>
      <x:c r="E505" t="str">
        <x:v>Assalariado</x:v>
      </x:c>
      <x:c r="F505" t="str">
        <x:v>Huíla</x:v>
      </x:c>
      <x:c r="G505" t="str">
        <x:v>Android</x:v>
      </x:c>
      <x:c r="H505" t="n">
        <x:v>8433</x:v>
      </x:c>
      <x:c r="I505" t="n">
        <x:v>278</x:v>
      </x:c>
      <x:c r="J505" t="n">
        <x:v>55</x:v>
      </x:c>
      <x:c r="K505" t="n">
        <x:v>37</x:v>
      </x:c>
      <x:c r="L505" t="n">
        <x:v>23</x:v>
      </x:c>
      <x:c r="M505" s="28" t="n">
        <x:v>50102843.94</x:v>
      </x:c>
      <x:c r="N505" s="28" t="n">
        <x:v>50724.63</x:v>
      </x:c>
      <x:c r="O505" s="30" t="n">
        <x:f>IFERROR(I505/H505,0)</x:f>
        <x:v>0.03296572987074588</x:v>
      </x:c>
      <x:c r="P505" s="30" t="n">
        <x:f>IFERROR(J505/I505,0)</x:f>
        <x:v>0.19784172661870503</x:v>
      </x:c>
      <x:c r="Q505" s="30" t="n">
        <x:f>IFERROR(K505/J505,0)</x:f>
        <x:v>0.6727272727272727</x:v>
      </x:c>
      <x:c r="R505" s="30" t="n">
        <x:f>IFERROR(L505/K505,0)</x:f>
        <x:v>0.6216216216216216</x:v>
      </x:c>
      <x:c r="S505" s="28" t="n">
        <x:f>IFERROR(N505/J505,0)</x:f>
        <x:v>922.266</x:v>
      </x:c>
      <x:c r="T505" s="28" t="n">
        <x:f>IFERROR(N505/K505,0)</x:f>
        <x:v>1370.9359459459458</x:v>
      </x:c>
      <x:c r="U505" s="28" t="n">
        <x:f>IFERROR(N505/L505,0)</x:f>
        <x:v>2205.418695652174</x:v>
      </x:c>
    </x:row>
    <x:row r="506">
      <x:c r="A506" t="n">
        <x:v>505</x:v>
      </x:c>
      <x:c r="B506" s="26" t="n">
        <x:v>46149</x:v>
      </x:c>
      <x:c r="C506" t="str">
        <x:v>CPO_Acesso_Rapido</x:v>
      </x:c>
      <x:c r="D506" t="str">
        <x:v>TikTok Ads</x:v>
      </x:c>
      <x:c r="E506" t="str">
        <x:v>Pequeno Negócio</x:v>
      </x:c>
      <x:c r="F506" t="str">
        <x:v>Benguela</x:v>
      </x:c>
      <x:c r="G506" t="str">
        <x:v>Android</x:v>
      </x:c>
      <x:c r="H506" t="n">
        <x:v>6806</x:v>
      </x:c>
      <x:c r="I506" t="n">
        <x:v>100</x:v>
      </x:c>
      <x:c r="J506" t="n">
        <x:v>9</x:v>
      </x:c>
      <x:c r="K506" t="n">
        <x:v>4</x:v>
      </x:c>
      <x:c r="L506" t="n">
        <x:v>3</x:v>
      </x:c>
      <x:c r="M506" s="28" t="n">
        <x:v>7918342.97</x:v>
      </x:c>
      <x:c r="N506" s="28" t="n">
        <x:v>5818.32</x:v>
      </x:c>
      <x:c r="O506" s="30" t="n">
        <x:f>IFERROR(I506/H506,0)</x:f>
        <x:v>0.014692918013517485</x:v>
      </x:c>
      <x:c r="P506" s="30" t="n">
        <x:f>IFERROR(J506/I506,0)</x:f>
        <x:v>0.09</x:v>
      </x:c>
      <x:c r="Q506" s="30" t="n">
        <x:f>IFERROR(K506/J506,0)</x:f>
        <x:v>0.4444444444444444</x:v>
      </x:c>
      <x:c r="R506" s="30" t="n">
        <x:f>IFERROR(L506/K506,0)</x:f>
        <x:v>0.75</x:v>
      </x:c>
      <x:c r="S506" s="28" t="n">
        <x:f>IFERROR(N506/J506,0)</x:f>
        <x:v>646.48</x:v>
      </x:c>
      <x:c r="T506" s="28" t="n">
        <x:f>IFERROR(N506/K506,0)</x:f>
        <x:v>1454.58</x:v>
      </x:c>
      <x:c r="U506" s="28" t="n">
        <x:f>IFERROR(N506/L506,0)</x:f>
        <x:v>1939.4399999999998</x:v>
      </x:c>
    </x:row>
    <x:row r="507">
      <x:c r="A507" t="n">
        <x:v>506</x:v>
      </x:c>
      <x:c r="B507" s="26" t="n">
        <x:v>46149</x:v>
      </x:c>
      <x:c r="C507" t="str">
        <x:v>CPO_Always_On</x:v>
      </x:c>
      <x:c r="D507" t="str">
        <x:v>SMS</x:v>
      </x:c>
      <x:c r="E507" t="str">
        <x:v>Pequeno Negócio</x:v>
      </x:c>
      <x:c r="F507" t="str">
        <x:v>Uíge</x:v>
      </x:c>
      <x:c r="G507" t="str">
        <x:v>Desktop</x:v>
      </x:c>
      <x:c r="H507" t="n">
        <x:v>5578</x:v>
      </x:c>
      <x:c r="I507" t="n">
        <x:v>454</x:v>
      </x:c>
      <x:c r="J507" t="n">
        <x:v>40</x:v>
      </x:c>
      <x:c r="K507" t="n">
        <x:v>19</x:v>
      </x:c>
      <x:c r="L507" t="n">
        <x:v>8</x:v>
      </x:c>
      <x:c r="M507" s="28" t="n">
        <x:v>21874916.42</x:v>
      </x:c>
      <x:c r="N507" s="28" t="n">
        <x:v>17543.22</x:v>
      </x:c>
      <x:c r="O507" s="30" t="n">
        <x:f>IFERROR(I507/H507,0)</x:f>
        <x:v>0.08139117963427751</x:v>
      </x:c>
      <x:c r="P507" s="30" t="n">
        <x:f>IFERROR(J507/I507,0)</x:f>
        <x:v>0.0881057268722467</x:v>
      </x:c>
      <x:c r="Q507" s="30" t="n">
        <x:f>IFERROR(K507/J507,0)</x:f>
        <x:v>0.475</x:v>
      </x:c>
      <x:c r="R507" s="30" t="n">
        <x:f>IFERROR(L507/K507,0)</x:f>
        <x:v>0.42105263157894735</x:v>
      </x:c>
      <x:c r="S507" s="28" t="n">
        <x:f>IFERROR(N507/J507,0)</x:f>
        <x:v>438.58050000000003</x:v>
      </x:c>
      <x:c r="T507" s="28" t="n">
        <x:f>IFERROR(N507/K507,0)</x:f>
        <x:v>923.3273684210527</x:v>
      </x:c>
      <x:c r="U507" s="28" t="n">
        <x:f>IFERROR(N507/L507,0)</x:f>
        <x:v>2192.9025</x:v>
      </x:c>
    </x:row>
    <x:row r="508">
      <x:c r="A508" t="n">
        <x:v>507</x:v>
      </x:c>
      <x:c r="B508" s="26" t="n">
        <x:v>46149</x:v>
      </x:c>
      <x:c r="C508" t="str">
        <x:v>CPO_Fim_do_Mes</x:v>
      </x:c>
      <x:c r="D508" t="str">
        <x:v>E-mail</x:v>
      </x:c>
      <x:c r="E508" t="str">
        <x:v>Premium</x:v>
      </x:c>
      <x:c r="F508" t="str">
        <x:v>Luanda</x:v>
      </x:c>
      <x:c r="G508" t="str">
        <x:v>Android</x:v>
      </x:c>
      <x:c r="H508" t="n">
        <x:v>4680</x:v>
      </x:c>
      <x:c r="I508" t="n">
        <x:v>181</x:v>
      </x:c>
      <x:c r="J508" t="n">
        <x:v>20</x:v>
      </x:c>
      <x:c r="K508" t="n">
        <x:v>18</x:v>
      </x:c>
      <x:c r="L508" t="n">
        <x:v>13</x:v>
      </x:c>
      <x:c r="M508" s="28" t="n">
        <x:v>74526428.52</x:v>
      </x:c>
      <x:c r="N508" s="28" t="n">
        <x:v>56716.65</x:v>
      </x:c>
      <x:c r="O508" s="30" t="n">
        <x:f>IFERROR(I508/H508,0)</x:f>
        <x:v>0.03867521367521368</x:v>
      </x:c>
      <x:c r="P508" s="30" t="n">
        <x:f>IFERROR(J508/I508,0)</x:f>
        <x:v>0.11049723756906077</x:v>
      </x:c>
      <x:c r="Q508" s="30" t="n">
        <x:f>IFERROR(K508/J508,0)</x:f>
        <x:v>0.9</x:v>
      </x:c>
      <x:c r="R508" s="30" t="n">
        <x:f>IFERROR(L508/K508,0)</x:f>
        <x:v>0.7222222222222222</x:v>
      </x:c>
      <x:c r="S508" s="28" t="n">
        <x:f>IFERROR(N508/J508,0)</x:f>
        <x:v>2835.8325</x:v>
      </x:c>
      <x:c r="T508" s="28" t="n">
        <x:f>IFERROR(N508/K508,0)</x:f>
        <x:v>3150.925</x:v>
      </x:c>
      <x:c r="U508" s="28" t="n">
        <x:f>IFERROR(N508/L508,0)</x:f>
        <x:v>4362.819230769231</x:v>
      </x:c>
    </x:row>
    <x:row r="509">
      <x:c r="A509" t="n">
        <x:v>508</x:v>
      </x:c>
      <x:c r="B509" s="26" t="n">
        <x:v>46149</x:v>
      </x:c>
      <x:c r="C509" t="str">
        <x:v>CPO_Salario</x:v>
      </x:c>
      <x:c r="D509" t="str">
        <x:v>BAI Directo/App</x:v>
      </x:c>
      <x:c r="E509" t="str">
        <x:v>Jovem Profissional</x:v>
      </x:c>
      <x:c r="F509" t="str">
        <x:v>Cuanza Sul</x:v>
      </x:c>
      <x:c r="G509" t="str">
        <x:v>iOS</x:v>
      </x:c>
      <x:c r="H509" t="n">
        <x:v>5464</x:v>
      </x:c>
      <x:c r="I509" t="n">
        <x:v>570</x:v>
      </x:c>
      <x:c r="J509" t="n">
        <x:v>95</x:v>
      </x:c>
      <x:c r="K509" t="n">
        <x:v>49</x:v>
      </x:c>
      <x:c r="L509" t="n">
        <x:v>27</x:v>
      </x:c>
      <x:c r="M509" s="28" t="n">
        <x:v>39237388.89</x:v>
      </x:c>
      <x:c r="N509" s="28" t="n">
        <x:v>49446.97</x:v>
      </x:c>
      <x:c r="O509" s="30" t="n">
        <x:f>IFERROR(I509/H509,0)</x:f>
        <x:v>0.10431918008784773</x:v>
      </x:c>
      <x:c r="P509" s="30" t="n">
        <x:f>IFERROR(J509/I509,0)</x:f>
        <x:v>0.16666666666666666</x:v>
      </x:c>
      <x:c r="Q509" s="30" t="n">
        <x:f>IFERROR(K509/J509,0)</x:f>
        <x:v>0.5157894736842106</x:v>
      </x:c>
      <x:c r="R509" s="30" t="n">
        <x:f>IFERROR(L509/K509,0)</x:f>
        <x:v>0.5510204081632653</x:v>
      </x:c>
      <x:c r="S509" s="28" t="n">
        <x:f>IFERROR(N509/J509,0)</x:f>
        <x:v>520.4944210526315</x:v>
      </x:c>
      <x:c r="T509" s="28" t="n">
        <x:f>IFERROR(N509/K509,0)</x:f>
        <x:v>1009.1218367346939</x:v>
      </x:c>
      <x:c r="U509" s="28" t="n">
        <x:f>IFERROR(N509/L509,0)</x:f>
        <x:v>1831.3692592592593</x:v>
      </x:c>
    </x:row>
    <x:row r="510">
      <x:c r="A510" t="n">
        <x:v>509</x:v>
      </x:c>
      <x:c r="B510" s="26" t="n">
        <x:v>46149</x:v>
      </x:c>
      <x:c r="C510" t="str">
        <x:v>CPO_Fim_do_Mes</x:v>
      </x:c>
      <x:c r="D510" t="str">
        <x:v>Google Ads</x:v>
      </x:c>
      <x:c r="E510" t="str">
        <x:v>Pequeno Negócio</x:v>
      </x:c>
      <x:c r="F510" t="str">
        <x:v>Luanda</x:v>
      </x:c>
      <x:c r="G510" t="str">
        <x:v>Android</x:v>
      </x:c>
      <x:c r="H510" t="n">
        <x:v>19575</x:v>
      </x:c>
      <x:c r="I510" t="n">
        <x:v>398</x:v>
      </x:c>
      <x:c r="J510" t="n">
        <x:v>55</x:v>
      </x:c>
      <x:c r="K510" t="n">
        <x:v>26</x:v>
      </x:c>
      <x:c r="L510" t="n">
        <x:v>13</x:v>
      </x:c>
      <x:c r="M510" s="28" t="n">
        <x:v>40138790.64</x:v>
      </x:c>
      <x:c r="N510" s="28" t="n">
        <x:v>48607.83</x:v>
      </x:c>
      <x:c r="O510" s="30" t="n">
        <x:f>IFERROR(I510/H510,0)</x:f>
        <x:v>0.020332056194125158</x:v>
      </x:c>
      <x:c r="P510" s="30" t="n">
        <x:f>IFERROR(J510/I510,0)</x:f>
        <x:v>0.13819095477386933</x:v>
      </x:c>
      <x:c r="Q510" s="30" t="n">
        <x:f>IFERROR(K510/J510,0)</x:f>
        <x:v>0.4727272727272727</x:v>
      </x:c>
      <x:c r="R510" s="30" t="n">
        <x:f>IFERROR(L510/K510,0)</x:f>
        <x:v>0.5</x:v>
      </x:c>
      <x:c r="S510" s="28" t="n">
        <x:f>IFERROR(N510/J510,0)</x:f>
        <x:v>883.7787272727273</x:v>
      </x:c>
      <x:c r="T510" s="28" t="n">
        <x:f>IFERROR(N510/K510,0)</x:f>
        <x:v>1869.5319230769232</x:v>
      </x:c>
      <x:c r="U510" s="28" t="n">
        <x:f>IFERROR(N510/L510,0)</x:f>
        <x:v>3739.0638461538465</x:v>
      </x:c>
    </x:row>
    <x:row r="511">
      <x:c r="A511" t="n">
        <x:v>510</x:v>
      </x:c>
      <x:c r="B511" s="26" t="n">
        <x:v>46150</x:v>
      </x:c>
      <x:c r="C511" t="str">
        <x:v>CPO_Premium</x:v>
      </x:c>
      <x:c r="D511" t="str">
        <x:v>BAI Directo/App</x:v>
      </x:c>
      <x:c r="E511" t="str">
        <x:v>Funcionário Público</x:v>
      </x:c>
      <x:c r="F511" t="str">
        <x:v>Huambo</x:v>
      </x:c>
      <x:c r="G511" t="str">
        <x:v>Android</x:v>
      </x:c>
      <x:c r="H511" t="n">
        <x:v>1045</x:v>
      </x:c>
      <x:c r="I511" t="n">
        <x:v>82</x:v>
      </x:c>
      <x:c r="J511" t="n">
        <x:v>12</x:v>
      </x:c>
      <x:c r="K511" t="n">
        <x:v>8</x:v>
      </x:c>
      <x:c r="L511" t="n">
        <x:v>5</x:v>
      </x:c>
      <x:c r="M511" s="28" t="n">
        <x:v>11485355.19</x:v>
      </x:c>
      <x:c r="N511" s="28" t="n">
        <x:v>10659.45</x:v>
      </x:c>
      <x:c r="O511" s="30" t="n">
        <x:f>IFERROR(I511/H511,0)</x:f>
        <x:v>0.0784688995215311</x:v>
      </x:c>
      <x:c r="P511" s="30" t="n">
        <x:f>IFERROR(J511/I511,0)</x:f>
        <x:v>0.14634146341463414</x:v>
      </x:c>
      <x:c r="Q511" s="30" t="n">
        <x:f>IFERROR(K511/J511,0)</x:f>
        <x:v>0.6666666666666666</x:v>
      </x:c>
      <x:c r="R511" s="30" t="n">
        <x:f>IFERROR(L511/K511,0)</x:f>
        <x:v>0.625</x:v>
      </x:c>
      <x:c r="S511" s="28" t="n">
        <x:f>IFERROR(N511/J511,0)</x:f>
        <x:v>888.2875</x:v>
      </x:c>
      <x:c r="T511" s="28" t="n">
        <x:f>IFERROR(N511/K511,0)</x:f>
        <x:v>1332.43125</x:v>
      </x:c>
      <x:c r="U511" s="28" t="n">
        <x:f>IFERROR(N511/L511,0)</x:f>
        <x:v>2131.8900000000003</x:v>
      </x:c>
    </x:row>
    <x:row r="512">
      <x:c r="A512" t="n">
        <x:v>511</x:v>
      </x:c>
      <x:c r="B512" s="26" t="n">
        <x:v>46150</x:v>
      </x:c>
      <x:c r="C512" t="str">
        <x:v>CPO_Fim_do_Mes</x:v>
      </x:c>
      <x:c r="D512" t="str">
        <x:v>TikTok Ads</x:v>
      </x:c>
      <x:c r="E512" t="str">
        <x:v>Funcionário Público</x:v>
      </x:c>
      <x:c r="F512" t="str">
        <x:v>Luanda</x:v>
      </x:c>
      <x:c r="G512" t="str">
        <x:v>Android</x:v>
      </x:c>
      <x:c r="H512" t="n">
        <x:v>21816</x:v>
      </x:c>
      <x:c r="I512" t="n">
        <x:v>218</x:v>
      </x:c>
      <x:c r="J512" t="n">
        <x:v>17</x:v>
      </x:c>
      <x:c r="K512" t="n">
        <x:v>12</x:v>
      </x:c>
      <x:c r="L512" t="n">
        <x:v>9</x:v>
      </x:c>
      <x:c r="M512" s="28" t="n">
        <x:v>19437326.67</x:v>
      </x:c>
      <x:c r="N512" s="28" t="n">
        <x:v>18001.35</x:v>
      </x:c>
      <x:c r="O512" s="30" t="n">
        <x:f>IFERROR(I512/H512,0)</x:f>
        <x:v>0.009992665933259993</x:v>
      </x:c>
      <x:c r="P512" s="30" t="n">
        <x:f>IFERROR(J512/I512,0)</x:f>
        <x:v>0.0779816513761468</x:v>
      </x:c>
      <x:c r="Q512" s="30" t="n">
        <x:f>IFERROR(K512/J512,0)</x:f>
        <x:v>0.7058823529411765</x:v>
      </x:c>
      <x:c r="R512" s="30" t="n">
        <x:f>IFERROR(L512/K512,0)</x:f>
        <x:v>0.75</x:v>
      </x:c>
      <x:c r="S512" s="28" t="n">
        <x:f>IFERROR(N512/J512,0)</x:f>
        <x:v>1058.9029411764704</x:v>
      </x:c>
      <x:c r="T512" s="28" t="n">
        <x:f>IFERROR(N512/K512,0)</x:f>
        <x:v>1500.1125</x:v>
      </x:c>
      <x:c r="U512" s="28" t="n">
        <x:f>IFERROR(N512/L512,0)</x:f>
        <x:v>2000.1499999999999</x:v>
      </x:c>
    </x:row>
    <x:row r="513">
      <x:c r="A513" t="n">
        <x:v>512</x:v>
      </x:c>
      <x:c r="B513" s="26" t="n">
        <x:v>46150</x:v>
      </x:c>
      <x:c r="C513" t="str">
        <x:v>CPO_Digital_360</x:v>
      </x:c>
      <x:c r="D513" t="str">
        <x:v>E-mail</x:v>
      </x:c>
      <x:c r="E513" t="str">
        <x:v>Jovem Profissional</x:v>
      </x:c>
      <x:c r="F513" t="str">
        <x:v>Cabinda</x:v>
      </x:c>
      <x:c r="G513" t="str">
        <x:v>Desktop</x:v>
      </x:c>
      <x:c r="H513" t="n">
        <x:v>3358</x:v>
      </x:c>
      <x:c r="I513" t="n">
        <x:v>171</x:v>
      </x:c>
      <x:c r="J513" t="n">
        <x:v>19</x:v>
      </x:c>
      <x:c r="K513" t="n">
        <x:v>10</x:v>
      </x:c>
      <x:c r="L513" t="n">
        <x:v>6</x:v>
      </x:c>
      <x:c r="M513" s="28" t="n">
        <x:v>9079134.82</x:v>
      </x:c>
      <x:c r="N513" s="28" t="n">
        <x:v>26275.59</x:v>
      </x:c>
      <x:c r="O513" s="30" t="n">
        <x:f>IFERROR(I513/H513,0)</x:f>
        <x:v>0.050923168552709945</x:v>
      </x:c>
      <x:c r="P513" s="30" t="n">
        <x:f>IFERROR(J513/I513,0)</x:f>
        <x:v>0.1111111111111111</x:v>
      </x:c>
      <x:c r="Q513" s="30" t="n">
        <x:f>IFERROR(K513/J513,0)</x:f>
        <x:v>0.5263157894736842</x:v>
      </x:c>
      <x:c r="R513" s="30" t="n">
        <x:f>IFERROR(L513/K513,0)</x:f>
        <x:v>0.6</x:v>
      </x:c>
      <x:c r="S513" s="28" t="n">
        <x:f>IFERROR(N513/J513,0)</x:f>
        <x:v>1382.9257894736843</x:v>
      </x:c>
      <x:c r="T513" s="28" t="n">
        <x:f>IFERROR(N513/K513,0)</x:f>
        <x:v>2627.559</x:v>
      </x:c>
      <x:c r="U513" s="28" t="n">
        <x:f>IFERROR(N513/L513,0)</x:f>
        <x:v>4379.265</x:v>
      </x:c>
    </x:row>
    <x:row r="514">
      <x:c r="A514" t="n">
        <x:v>513</x:v>
      </x:c>
      <x:c r="B514" s="26" t="n">
        <x:v>46150</x:v>
      </x:c>
      <x:c r="C514" t="str">
        <x:v>CPO_Always_On</x:v>
      </x:c>
      <x:c r="D514" t="str">
        <x:v>E-mail</x:v>
      </x:c>
      <x:c r="E514" t="str">
        <x:v>Pequeno Negócio</x:v>
      </x:c>
      <x:c r="F514" t="str">
        <x:v>Huíla</x:v>
      </x:c>
      <x:c r="G514" t="str">
        <x:v>Android</x:v>
      </x:c>
      <x:c r="H514" t="n">
        <x:v>5378</x:v>
      </x:c>
      <x:c r="I514" t="n">
        <x:v>304</x:v>
      </x:c>
      <x:c r="J514" t="n">
        <x:v>34</x:v>
      </x:c>
      <x:c r="K514" t="n">
        <x:v>13</x:v>
      </x:c>
      <x:c r="L514" t="n">
        <x:v>7</x:v>
      </x:c>
      <x:c r="M514" s="28" t="n">
        <x:v>21174398.6</x:v>
      </x:c>
      <x:c r="N514" s="28" t="n">
        <x:v>59621.17</x:v>
      </x:c>
      <x:c r="O514" s="30" t="n">
        <x:f>IFERROR(I514/H514,0)</x:f>
        <x:v>0.056526589810338417</x:v>
      </x:c>
      <x:c r="P514" s="30" t="n">
        <x:f>IFERROR(J514/I514,0)</x:f>
        <x:v>0.1118421052631579</x:v>
      </x:c>
      <x:c r="Q514" s="30" t="n">
        <x:f>IFERROR(K514/J514,0)</x:f>
        <x:v>0.38235294117647056</x:v>
      </x:c>
      <x:c r="R514" s="30" t="n">
        <x:f>IFERROR(L514/K514,0)</x:f>
        <x:v>0.5384615384615384</x:v>
      </x:c>
      <x:c r="S514" s="28" t="n">
        <x:f>IFERROR(N514/J514,0)</x:f>
        <x:v>1753.5638235294118</x:v>
      </x:c>
      <x:c r="T514" s="28" t="n">
        <x:f>IFERROR(N514/K514,0)</x:f>
        <x:v>4586.243846153846</x:v>
      </x:c>
      <x:c r="U514" s="28" t="n">
        <x:f>IFERROR(N514/L514,0)</x:f>
        <x:v>8517.31</x:v>
      </x:c>
    </x:row>
    <x:row r="515">
      <x:c r="A515" t="n">
        <x:v>514</x:v>
      </x:c>
      <x:c r="B515" s="26" t="n">
        <x:v>46150</x:v>
      </x:c>
      <x:c r="C515" t="str">
        <x:v>CPO_Salario</x:v>
      </x:c>
      <x:c r="D515" t="str">
        <x:v>Meta Ads</x:v>
      </x:c>
      <x:c r="E515" t="str">
        <x:v>Pequeno Negócio</x:v>
      </x:c>
      <x:c r="F515" t="str">
        <x:v>Luanda</x:v>
      </x:c>
      <x:c r="G515" t="str">
        <x:v>Android</x:v>
      </x:c>
      <x:c r="H515" t="n">
        <x:v>19321</x:v>
      </x:c>
      <x:c r="I515" t="n">
        <x:v>195</x:v>
      </x:c>
      <x:c r="J515" t="n">
        <x:v>24</x:v>
      </x:c>
      <x:c r="K515" t="n">
        <x:v>11</x:v>
      </x:c>
      <x:c r="L515" t="n">
        <x:v>5</x:v>
      </x:c>
      <x:c r="M515" s="28" t="n">
        <x:v>17601959.25</x:v>
      </x:c>
      <x:c r="N515" s="28" t="n">
        <x:v>28251.59</x:v>
      </x:c>
      <x:c r="O515" s="30" t="n">
        <x:f>IFERROR(I515/H515,0)</x:f>
        <x:v>0.01009264530821386</x:v>
      </x:c>
      <x:c r="P515" s="30" t="n">
        <x:f>IFERROR(J515/I515,0)</x:f>
        <x:v>0.12307692307692308</x:v>
      </x:c>
      <x:c r="Q515" s="30" t="n">
        <x:f>IFERROR(K515/J515,0)</x:f>
        <x:v>0.4583333333333333</x:v>
      </x:c>
      <x:c r="R515" s="30" t="n">
        <x:f>IFERROR(L515/K515,0)</x:f>
        <x:v>0.45454545454545453</x:v>
      </x:c>
      <x:c r="S515" s="28" t="n">
        <x:f>IFERROR(N515/J515,0)</x:f>
        <x:v>1177.1495833333333</x:v>
      </x:c>
      <x:c r="T515" s="28" t="n">
        <x:f>IFERROR(N515/K515,0)</x:f>
        <x:v>2568.3263636363636</x:v>
      </x:c>
      <x:c r="U515" s="28" t="n">
        <x:f>IFERROR(N515/L515,0)</x:f>
        <x:v>5650.318</x:v>
      </x:c>
    </x:row>
    <x:row r="516">
      <x:c r="A516" t="n">
        <x:v>515</x:v>
      </x:c>
      <x:c r="B516" s="26" t="n">
        <x:v>46151</x:v>
      </x:c>
      <x:c r="C516" t="str">
        <x:v>CPO_Salario</x:v>
      </x:c>
      <x:c r="D516" t="str">
        <x:v>SMS</x:v>
      </x:c>
      <x:c r="E516" t="str">
        <x:v>Jovem Profissional</x:v>
      </x:c>
      <x:c r="F516" t="str">
        <x:v>Cabinda</x:v>
      </x:c>
      <x:c r="G516" t="str">
        <x:v>Android</x:v>
      </x:c>
      <x:c r="H516" t="n">
        <x:v>7643</x:v>
      </x:c>
      <x:c r="I516" t="n">
        <x:v>541</x:v>
      </x:c>
      <x:c r="J516" t="n">
        <x:v>59</x:v>
      </x:c>
      <x:c r="K516" t="n">
        <x:v>41</x:v>
      </x:c>
      <x:c r="L516" t="n">
        <x:v>25</x:v>
      </x:c>
      <x:c r="M516" s="28" t="n">
        <x:v>31213218.06</x:v>
      </x:c>
      <x:c r="N516" s="28" t="n">
        <x:v>25626.78</x:v>
      </x:c>
      <x:c r="O516" s="30" t="n">
        <x:f>IFERROR(I516/H516,0)</x:f>
        <x:v>0.07078372366871648</x:v>
      </x:c>
      <x:c r="P516" s="30" t="n">
        <x:f>IFERROR(J516/I516,0)</x:f>
        <x:v>0.10905730129390019</x:v>
      </x:c>
      <x:c r="Q516" s="30" t="n">
        <x:f>IFERROR(K516/J516,0)</x:f>
        <x:v>0.6949152542372882</x:v>
      </x:c>
      <x:c r="R516" s="30" t="n">
        <x:f>IFERROR(L516/K516,0)</x:f>
        <x:v>0.6097560975609756</x:v>
      </x:c>
      <x:c r="S516" s="28" t="n">
        <x:f>IFERROR(N516/J516,0)</x:f>
        <x:v>434.3522033898305</x:v>
      </x:c>
      <x:c r="T516" s="28" t="n">
        <x:f>IFERROR(N516/K516,0)</x:f>
        <x:v>625.0434146341463</x:v>
      </x:c>
      <x:c r="U516" s="28" t="n">
        <x:f>IFERROR(N516/L516,0)</x:f>
        <x:v>1025.0711999999999</x:v>
      </x:c>
    </x:row>
    <x:row r="517">
      <x:c r="A517" t="n">
        <x:v>516</x:v>
      </x:c>
      <x:c r="B517" s="26" t="n">
        <x:v>46151</x:v>
      </x:c>
      <x:c r="C517" t="str">
        <x:v>CPO_Premium</x:v>
      </x:c>
      <x:c r="D517" t="str">
        <x:v>Meta Ads</x:v>
      </x:c>
      <x:c r="E517" t="str">
        <x:v>Jovem Profissional</x:v>
      </x:c>
      <x:c r="F517" t="str">
        <x:v>Benguela</x:v>
      </x:c>
      <x:c r="G517" t="str">
        <x:v>Android</x:v>
      </x:c>
      <x:c r="H517" t="n">
        <x:v>5339</x:v>
      </x:c>
      <x:c r="I517" t="n">
        <x:v>137</x:v>
      </x:c>
      <x:c r="J517" t="n">
        <x:v>16</x:v>
      </x:c>
      <x:c r="K517" t="n">
        <x:v>9</x:v>
      </x:c>
      <x:c r="L517" t="n">
        <x:v>5</x:v>
      </x:c>
      <x:c r="M517" s="28" t="n">
        <x:v>5314200.48</x:v>
      </x:c>
      <x:c r="N517" s="28" t="n">
        <x:v>8649.98</x:v>
      </x:c>
      <x:c r="O517" s="30" t="n">
        <x:f>IFERROR(I517/H517,0)</x:f>
        <x:v>0.025660235999250797</x:v>
      </x:c>
      <x:c r="P517" s="30" t="n">
        <x:f>IFERROR(J517/I517,0)</x:f>
        <x:v>0.11678832116788321</x:v>
      </x:c>
      <x:c r="Q517" s="30" t="n">
        <x:f>IFERROR(K517/J517,0)</x:f>
        <x:v>0.5625</x:v>
      </x:c>
      <x:c r="R517" s="30" t="n">
        <x:f>IFERROR(L517/K517,0)</x:f>
        <x:v>0.5555555555555556</x:v>
      </x:c>
      <x:c r="S517" s="28" t="n">
        <x:f>IFERROR(N517/J517,0)</x:f>
        <x:v>540.62375</x:v>
      </x:c>
      <x:c r="T517" s="28" t="n">
        <x:f>IFERROR(N517/K517,0)</x:f>
        <x:v>961.1088888888888</x:v>
      </x:c>
      <x:c r="U517" s="28" t="n">
        <x:f>IFERROR(N517/L517,0)</x:f>
        <x:v>1729.9959999999999</x:v>
      </x:c>
    </x:row>
    <x:row r="518">
      <x:c r="A518" t="n">
        <x:v>517</x:v>
      </x:c>
      <x:c r="B518" s="26" t="n">
        <x:v>46151</x:v>
      </x:c>
      <x:c r="C518" t="str">
        <x:v>CPO_Acesso_Rapido</x:v>
      </x:c>
      <x:c r="D518" t="str">
        <x:v>BAI Directo/App</x:v>
      </x:c>
      <x:c r="E518" t="str">
        <x:v>Premium</x:v>
      </x:c>
      <x:c r="F518" t="str">
        <x:v>Malanje</x:v>
      </x:c>
      <x:c r="G518" t="str">
        <x:v>iOS</x:v>
      </x:c>
      <x:c r="H518" t="n">
        <x:v>9055</x:v>
      </x:c>
      <x:c r="I518" t="n">
        <x:v>1086</x:v>
      </x:c>
      <x:c r="J518" t="n">
        <x:v>224</x:v>
      </x:c>
      <x:c r="K518" t="n">
        <x:v>147</x:v>
      </x:c>
      <x:c r="L518" t="n">
        <x:v>97</x:v>
      </x:c>
      <x:c r="M518" s="28" t="n">
        <x:v>515814715.66</x:v>
      </x:c>
      <x:c r="N518" s="28" t="n">
        <x:v>39109.64</x:v>
      </x:c>
      <x:c r="O518" s="30" t="n">
        <x:f>IFERROR(I518/H518,0)</x:f>
        <x:v>0.1199337382661513</x:v>
      </x:c>
      <x:c r="P518" s="30" t="n">
        <x:f>IFERROR(J518/I518,0)</x:f>
        <x:v>0.20626151012891344</x:v>
      </x:c>
      <x:c r="Q518" s="30" t="n">
        <x:f>IFERROR(K518/J518,0)</x:f>
        <x:v>0.65625</x:v>
      </x:c>
      <x:c r="R518" s="30" t="n">
        <x:f>IFERROR(L518/K518,0)</x:f>
        <x:v>0.6598639455782312</x:v>
      </x:c>
      <x:c r="S518" s="28" t="n">
        <x:f>IFERROR(N518/J518,0)</x:f>
        <x:v>174.59660714285715</x:v>
      </x:c>
      <x:c r="T518" s="28" t="n">
        <x:f>IFERROR(N518/K518,0)</x:f>
        <x:v>266.05197278911567</x:v>
      </x:c>
      <x:c r="U518" s="28" t="n">
        <x:f>IFERROR(N518/L518,0)</x:f>
        <x:v>403.1921649484536</x:v>
      </x:c>
    </x:row>
    <x:row r="519">
      <x:c r="A519" t="n">
        <x:v>518</x:v>
      </x:c>
      <x:c r="B519" s="26" t="n">
        <x:v>46152</x:v>
      </x:c>
      <x:c r="C519" t="str">
        <x:v>CPO_Fim_do_Mes</x:v>
      </x:c>
      <x:c r="D519" t="str">
        <x:v>Meta Ads</x:v>
      </x:c>
      <x:c r="E519" t="str">
        <x:v>Pequeno Negócio</x:v>
      </x:c>
      <x:c r="F519" t="str">
        <x:v>Benguela</x:v>
      </x:c>
      <x:c r="G519" t="str">
        <x:v>Android</x:v>
      </x:c>
      <x:c r="H519" t="n">
        <x:v>5131</x:v>
      </x:c>
      <x:c r="I519" t="n">
        <x:v>74</x:v>
      </x:c>
      <x:c r="J519" t="n">
        <x:v>8</x:v>
      </x:c>
      <x:c r="K519" t="n">
        <x:v>4</x:v>
      </x:c>
      <x:c r="L519" t="n">
        <x:v>2</x:v>
      </x:c>
      <x:c r="M519" s="28" t="n">
        <x:v>6753340.23</x:v>
      </x:c>
      <x:c r="N519" s="28" t="n">
        <x:v>10596.01</x:v>
      </x:c>
      <x:c r="O519" s="30" t="n">
        <x:f>IFERROR(I519/H519,0)</x:f>
        <x:v>0.014422139933736113</x:v>
      </x:c>
      <x:c r="P519" s="30" t="n">
        <x:f>IFERROR(J519/I519,0)</x:f>
        <x:v>0.10810810810810811</x:v>
      </x:c>
      <x:c r="Q519" s="30" t="n">
        <x:f>IFERROR(K519/J519,0)</x:f>
        <x:v>0.5</x:v>
      </x:c>
      <x:c r="R519" s="30" t="n">
        <x:f>IFERROR(L519/K519,0)</x:f>
        <x:v>0.5</x:v>
      </x:c>
      <x:c r="S519" s="28" t="n">
        <x:f>IFERROR(N519/J519,0)</x:f>
        <x:v>1324.50125</x:v>
      </x:c>
      <x:c r="T519" s="28" t="n">
        <x:f>IFERROR(N519/K519,0)</x:f>
        <x:v>2649.0025</x:v>
      </x:c>
      <x:c r="U519" s="28" t="n">
        <x:f>IFERROR(N519/L519,0)</x:f>
        <x:v>5298.005</x:v>
      </x:c>
    </x:row>
    <x:row r="520">
      <x:c r="A520" t="n">
        <x:v>519</x:v>
      </x:c>
      <x:c r="B520" s="26" t="n">
        <x:v>46152</x:v>
      </x:c>
      <x:c r="C520" t="str">
        <x:v>CPO_Salario</x:v>
      </x:c>
      <x:c r="D520" t="str">
        <x:v>TikTok Ads</x:v>
      </x:c>
      <x:c r="E520" t="str">
        <x:v>Pequeno Negócio</x:v>
      </x:c>
      <x:c r="F520" t="str">
        <x:v>Uíge</x:v>
      </x:c>
      <x:c r="G520" t="str">
        <x:v>Android</x:v>
      </x:c>
      <x:c r="H520" t="n">
        <x:v>26224</x:v>
      </x:c>
      <x:c r="I520" t="n">
        <x:v>489</x:v>
      </x:c>
      <x:c r="J520" t="n">
        <x:v>42</x:v>
      </x:c>
      <x:c r="K520" t="n">
        <x:v>16</x:v>
      </x:c>
      <x:c r="L520" t="n">
        <x:v>7</x:v>
      </x:c>
      <x:c r="M520" s="28" t="n">
        <x:v>24001017.32</x:v>
      </x:c>
      <x:c r="N520" s="28" t="n">
        <x:v>28465.01</x:v>
      </x:c>
      <x:c r="O520" s="30" t="n">
        <x:f>IFERROR(I520/H520,0)</x:f>
        <x:v>0.018647040878584504</x:v>
      </x:c>
      <x:c r="P520" s="30" t="n">
        <x:f>IFERROR(J520/I520,0)</x:f>
        <x:v>0.08588957055214724</x:v>
      </x:c>
      <x:c r="Q520" s="30" t="n">
        <x:f>IFERROR(K520/J520,0)</x:f>
        <x:v>0.38095238095238093</x:v>
      </x:c>
      <x:c r="R520" s="30" t="n">
        <x:f>IFERROR(L520/K520,0)</x:f>
        <x:v>0.4375</x:v>
      </x:c>
      <x:c r="S520" s="28" t="n">
        <x:f>IFERROR(N520/J520,0)</x:f>
        <x:v>677.7383333333333</x:v>
      </x:c>
      <x:c r="T520" s="28" t="n">
        <x:f>IFERROR(N520/K520,0)</x:f>
        <x:v>1779.063125</x:v>
      </x:c>
      <x:c r="U520" s="28" t="n">
        <x:f>IFERROR(N520/L520,0)</x:f>
        <x:v>4066.43</x:v>
      </x:c>
    </x:row>
    <x:row r="521">
      <x:c r="A521" t="n">
        <x:v>520</x:v>
      </x:c>
      <x:c r="B521" s="26" t="n">
        <x:v>46152</x:v>
      </x:c>
      <x:c r="C521" t="str">
        <x:v>CPO_Acesso_Rapido</x:v>
      </x:c>
      <x:c r="D521" t="str">
        <x:v>TikTok Ads</x:v>
      </x:c>
      <x:c r="E521" t="str">
        <x:v>Premium</x:v>
      </x:c>
      <x:c r="F521" t="str">
        <x:v>Luanda</x:v>
      </x:c>
      <x:c r="G521" t="str">
        <x:v>iOS</x:v>
      </x:c>
      <x:c r="H521" t="n">
        <x:v>26296</x:v>
      </x:c>
      <x:c r="I521" t="n">
        <x:v>410</x:v>
      </x:c>
      <x:c r="J521" t="n">
        <x:v>37</x:v>
      </x:c>
      <x:c r="K521" t="n">
        <x:v>32</x:v>
      </x:c>
      <x:c r="L521" t="n">
        <x:v>26</x:v>
      </x:c>
      <x:c r="M521" s="28" t="n">
        <x:v>152875387.41</x:v>
      </x:c>
      <x:c r="N521" s="28" t="n">
        <x:v>25392.36</x:v>
      </x:c>
      <x:c r="O521" s="30" t="n">
        <x:f>IFERROR(I521/H521,0)</x:f>
        <x:v>0.015591724977182841</x:v>
      </x:c>
      <x:c r="P521" s="30" t="n">
        <x:f>IFERROR(J521/I521,0)</x:f>
        <x:v>0.09024390243902439</x:v>
      </x:c>
      <x:c r="Q521" s="30" t="n">
        <x:f>IFERROR(K521/J521,0)</x:f>
        <x:v>0.8648648648648649</x:v>
      </x:c>
      <x:c r="R521" s="30" t="n">
        <x:f>IFERROR(L521/K521,0)</x:f>
        <x:v>0.8125</x:v>
      </x:c>
      <x:c r="S521" s="28" t="n">
        <x:f>IFERROR(N521/J521,0)</x:f>
        <x:v>686.28</x:v>
      </x:c>
      <x:c r="T521" s="28" t="n">
        <x:f>IFERROR(N521/K521,0)</x:f>
        <x:v>793.51125</x:v>
      </x:c>
      <x:c r="U521" s="28" t="n">
        <x:f>IFERROR(N521/L521,0)</x:f>
        <x:v>976.6292307692308</x:v>
      </x:c>
    </x:row>
    <x:row r="522">
      <x:c r="A522" t="n">
        <x:v>521</x:v>
      </x:c>
      <x:c r="B522" s="26" t="n">
        <x:v>46153</x:v>
      </x:c>
      <x:c r="C522" t="str">
        <x:v>CPO_Premium</x:v>
      </x:c>
      <x:c r="D522" t="str">
        <x:v>BAI Directo/App</x:v>
      </x:c>
      <x:c r="E522" t="str">
        <x:v>Funcionário Público</x:v>
      </x:c>
      <x:c r="F522" t="str">
        <x:v>Huambo</x:v>
      </x:c>
      <x:c r="G522" t="str">
        <x:v>Android</x:v>
      </x:c>
      <x:c r="H522" t="n">
        <x:v>11586</x:v>
      </x:c>
      <x:c r="I522" t="n">
        <x:v>1119</x:v>
      </x:c>
      <x:c r="J522" t="n">
        <x:v>223</x:v>
      </x:c>
      <x:c r="K522" t="n">
        <x:v>154</x:v>
      </x:c>
      <x:c r="L522" t="n">
        <x:v>108</x:v>
      </x:c>
      <x:c r="M522" s="28" t="n">
        <x:v>190642016.58</x:v>
      </x:c>
      <x:c r="N522" s="28" t="n">
        <x:v>69103.24</x:v>
      </x:c>
      <x:c r="O522" s="30" t="n">
        <x:f>IFERROR(I522/H522,0)</x:f>
        <x:v>0.0965820818228897</x:v>
      </x:c>
      <x:c r="P522" s="30" t="n">
        <x:f>IFERROR(J522/I522,0)</x:f>
        <x:v>0.19928507596067918</x:v>
      </x:c>
      <x:c r="Q522" s="30" t="n">
        <x:f>IFERROR(K522/J522,0)</x:f>
        <x:v>0.6905829596412556</x:v>
      </x:c>
      <x:c r="R522" s="30" t="n">
        <x:f>IFERROR(L522/K522,0)</x:f>
        <x:v>0.7012987012987013</x:v>
      </x:c>
      <x:c r="S522" s="28" t="n">
        <x:f>IFERROR(N522/J522,0)</x:f>
        <x:v>309.88</x:v>
      </x:c>
      <x:c r="T522" s="28" t="n">
        <x:f>IFERROR(N522/K522,0)</x:f>
        <x:v>448.7223376623377</x:v>
      </x:c>
      <x:c r="U522" s="28" t="n">
        <x:f>IFERROR(N522/L522,0)</x:f>
        <x:v>639.8448148148149</x:v>
      </x:c>
    </x:row>
    <x:row r="523">
      <x:c r="A523" t="n">
        <x:v>522</x:v>
      </x:c>
      <x:c r="B523" s="26" t="n">
        <x:v>46153</x:v>
      </x:c>
      <x:c r="C523" t="str">
        <x:v>CPO_Salario</x:v>
      </x:c>
      <x:c r="D523" t="str">
        <x:v>Meta Ads</x:v>
      </x:c>
      <x:c r="E523" t="str">
        <x:v>Pequeno Negócio</x:v>
      </x:c>
      <x:c r="F523" t="str">
        <x:v>Cabinda</x:v>
      </x:c>
      <x:c r="G523" t="str">
        <x:v>Desktop</x:v>
      </x:c>
      <x:c r="H523" t="n">
        <x:v>11742</x:v>
      </x:c>
      <x:c r="I523" t="n">
        <x:v>224</x:v>
      </x:c>
      <x:c r="J523" t="n">
        <x:v>29</x:v>
      </x:c>
      <x:c r="K523" t="n">
        <x:v>10</x:v>
      </x:c>
      <x:c r="L523" t="n">
        <x:v>4</x:v>
      </x:c>
      <x:c r="M523" s="28" t="n">
        <x:v>10187009.02</x:v>
      </x:c>
      <x:c r="N523" s="28" t="n">
        <x:v>26430.08</x:v>
      </x:c>
      <x:c r="O523" s="30" t="n">
        <x:f>IFERROR(I523/H523,0)</x:f>
        <x:v>0.019076818259240333</x:v>
      </x:c>
      <x:c r="P523" s="30" t="n">
        <x:f>IFERROR(J523/I523,0)</x:f>
        <x:v>0.12946428571428573</x:v>
      </x:c>
      <x:c r="Q523" s="30" t="n">
        <x:f>IFERROR(K523/J523,0)</x:f>
        <x:v>0.3448275862068966</x:v>
      </x:c>
      <x:c r="R523" s="30" t="n">
        <x:f>IFERROR(L523/K523,0)</x:f>
        <x:v>0.4</x:v>
      </x:c>
      <x:c r="S523" s="28" t="n">
        <x:f>IFERROR(N523/J523,0)</x:f>
        <x:v>911.3820689655173</x:v>
      </x:c>
      <x:c r="T523" s="28" t="n">
        <x:f>IFERROR(N523/K523,0)</x:f>
        <x:v>2643.0080000000003</x:v>
      </x:c>
      <x:c r="U523" s="28" t="n">
        <x:f>IFERROR(N523/L523,0)</x:f>
        <x:v>6607.52</x:v>
      </x:c>
    </x:row>
    <x:row r="524">
      <x:c r="A524" t="n">
        <x:v>523</x:v>
      </x:c>
      <x:c r="B524" s="26" t="n">
        <x:v>46153</x:v>
      </x:c>
      <x:c r="C524" t="str">
        <x:v>CPO_Always_On</x:v>
      </x:c>
      <x:c r="D524" t="str">
        <x:v>Google Ads</x:v>
      </x:c>
      <x:c r="E524" t="str">
        <x:v>Assalariado</x:v>
      </x:c>
      <x:c r="F524" t="str">
        <x:v>Luanda</x:v>
      </x:c>
      <x:c r="G524" t="str">
        <x:v>Desktop</x:v>
      </x:c>
      <x:c r="H524" t="n">
        <x:v>16429</x:v>
      </x:c>
      <x:c r="I524" t="n">
        <x:v>723</x:v>
      </x:c>
      <x:c r="J524" t="n">
        <x:v>85</x:v>
      </x:c>
      <x:c r="K524" t="n">
        <x:v>51</x:v>
      </x:c>
      <x:c r="L524" t="n">
        <x:v>36</x:v>
      </x:c>
      <x:c r="M524" s="28" t="n">
        <x:v>75166853.3</x:v>
      </x:c>
      <x:c r="N524" s="28" t="n">
        <x:v>89775.82</x:v>
      </x:c>
      <x:c r="O524" s="30" t="n">
        <x:f>IFERROR(I524/H524,0)</x:f>
        <x:v>0.04400754762919228</x:v>
      </x:c>
      <x:c r="P524" s="30" t="n">
        <x:f>IFERROR(J524/I524,0)</x:f>
        <x:v>0.11756569847856155</x:v>
      </x:c>
      <x:c r="Q524" s="30" t="n">
        <x:f>IFERROR(K524/J524,0)</x:f>
        <x:v>0.6</x:v>
      </x:c>
      <x:c r="R524" s="30" t="n">
        <x:f>IFERROR(L524/K524,0)</x:f>
        <x:v>0.7058823529411765</x:v>
      </x:c>
      <x:c r="S524" s="28" t="n">
        <x:f>IFERROR(N524/J524,0)</x:f>
        <x:v>1056.1861176470588</x:v>
      </x:c>
      <x:c r="T524" s="28" t="n">
        <x:f>IFERROR(N524/K524,0)</x:f>
        <x:v>1760.3101960784315</x:v>
      </x:c>
      <x:c r="U524" s="28" t="n">
        <x:f>IFERROR(N524/L524,0)</x:f>
        <x:v>2493.772777777778</x:v>
      </x:c>
    </x:row>
    <x:row r="525">
      <x:c r="A525" t="n">
        <x:v>524</x:v>
      </x:c>
      <x:c r="B525" s="26" t="n">
        <x:v>46154</x:v>
      </x:c>
      <x:c r="C525" t="str">
        <x:v>CPO_Salario</x:v>
      </x:c>
      <x:c r="D525" t="str">
        <x:v>SMS</x:v>
      </x:c>
      <x:c r="E525" t="str">
        <x:v>Funcionário Público</x:v>
      </x:c>
      <x:c r="F525" t="str">
        <x:v>Luanda</x:v>
      </x:c>
      <x:c r="G525" t="str">
        <x:v>Android</x:v>
      </x:c>
      <x:c r="H525" t="n">
        <x:v>10603</x:v>
      </x:c>
      <x:c r="I525" t="n">
        <x:v>852</x:v>
      </x:c>
      <x:c r="J525" t="n">
        <x:v>93</x:v>
      </x:c>
      <x:c r="K525" t="n">
        <x:v>71</x:v>
      </x:c>
      <x:c r="L525" t="n">
        <x:v>44</x:v>
      </x:c>
      <x:c r="M525" s="28" t="n">
        <x:v>80707114.82</x:v>
      </x:c>
      <x:c r="N525" s="28" t="n">
        <x:v>92774.55</x:v>
      </x:c>
      <x:c r="O525" s="30" t="n">
        <x:f>IFERROR(I525/H525,0)</x:f>
        <x:v>0.08035461661793832</x:v>
      </x:c>
      <x:c r="P525" s="30" t="n">
        <x:f>IFERROR(J525/I525,0)</x:f>
        <x:v>0.10915492957746478</x:v>
      </x:c>
      <x:c r="Q525" s="30" t="n">
        <x:f>IFERROR(K525/J525,0)</x:f>
        <x:v>0.7634408602150538</x:v>
      </x:c>
      <x:c r="R525" s="30" t="n">
        <x:f>IFERROR(L525/K525,0)</x:f>
        <x:v>0.6197183098591549</x:v>
      </x:c>
      <x:c r="S525" s="28" t="n">
        <x:f>IFERROR(N525/J525,0)</x:f>
        <x:v>997.575806451613</x:v>
      </x:c>
      <x:c r="T525" s="28" t="n">
        <x:f>IFERROR(N525/K525,0)</x:f>
        <x:v>1306.6838028169016</x:v>
      </x:c>
      <x:c r="U525" s="28" t="n">
        <x:f>IFERROR(N525/L525,0)</x:f>
        <x:v>2108.5125000000003</x:v>
      </x:c>
    </x:row>
    <x:row r="526">
      <x:c r="A526" t="n">
        <x:v>525</x:v>
      </x:c>
      <x:c r="B526" s="26" t="n">
        <x:v>46154</x:v>
      </x:c>
      <x:c r="C526" t="str">
        <x:v>CPO_Premium</x:v>
      </x:c>
      <x:c r="D526" t="str">
        <x:v>Google Ads</x:v>
      </x:c>
      <x:c r="E526" t="str">
        <x:v>Pequeno Negócio</x:v>
      </x:c>
      <x:c r="F526" t="str">
        <x:v>Luanda</x:v>
      </x:c>
      <x:c r="G526" t="str">
        <x:v>Android</x:v>
      </x:c>
      <x:c r="H526" t="n">
        <x:v>24954</x:v>
      </x:c>
      <x:c r="I526" t="n">
        <x:v>529</x:v>
      </x:c>
      <x:c r="J526" t="n">
        <x:v>42</x:v>
      </x:c>
      <x:c r="K526" t="n">
        <x:v>17</x:v>
      </x:c>
      <x:c r="L526" t="n">
        <x:v>9</x:v>
      </x:c>
      <x:c r="M526" s="28" t="n">
        <x:v>25802780.23</x:v>
      </x:c>
      <x:c r="N526" s="28" t="n">
        <x:v>39673.3</x:v>
      </x:c>
      <x:c r="O526" s="30" t="n">
        <x:f>IFERROR(I526/H526,0)</x:f>
        <x:v>0.021199006171355294</x:v>
      </x:c>
      <x:c r="P526" s="30" t="n">
        <x:f>IFERROR(J526/I526,0)</x:f>
        <x:v>0.07939508506616257</x:v>
      </x:c>
      <x:c r="Q526" s="30" t="n">
        <x:f>IFERROR(K526/J526,0)</x:f>
        <x:v>0.40476190476190477</x:v>
      </x:c>
      <x:c r="R526" s="30" t="n">
        <x:f>IFERROR(L526/K526,0)</x:f>
        <x:v>0.5294117647058824</x:v>
      </x:c>
      <x:c r="S526" s="28" t="n">
        <x:f>IFERROR(N526/J526,0)</x:f>
        <x:v>944.602380952381</x:v>
      </x:c>
      <x:c r="T526" s="28" t="n">
        <x:f>IFERROR(N526/K526,0)</x:f>
        <x:v>2333.723529411765</x:v>
      </x:c>
      <x:c r="U526" s="28" t="n">
        <x:f>IFERROR(N526/L526,0)</x:f>
        <x:v>4408.144444444445</x:v>
      </x:c>
    </x:row>
    <x:row r="527">
      <x:c r="A527" t="n">
        <x:v>526</x:v>
      </x:c>
      <x:c r="B527" s="26" t="n">
        <x:v>46154</x:v>
      </x:c>
      <x:c r="C527" t="str">
        <x:v>CPO_Digital_360</x:v>
      </x:c>
      <x:c r="D527" t="str">
        <x:v>SMS</x:v>
      </x:c>
      <x:c r="E527" t="str">
        <x:v>Assalariado</x:v>
      </x:c>
      <x:c r="F527" t="str">
        <x:v>Cuanza Sul</x:v>
      </x:c>
      <x:c r="G527" t="str">
        <x:v>iOS</x:v>
      </x:c>
      <x:c r="H527" t="n">
        <x:v>4311</x:v>
      </x:c>
      <x:c r="I527" t="n">
        <x:v>336</x:v>
      </x:c>
      <x:c r="J527" t="n">
        <x:v>23</x:v>
      </x:c>
      <x:c r="K527" t="n">
        <x:v>14</x:v>
      </x:c>
      <x:c r="L527" t="n">
        <x:v>10</x:v>
      </x:c>
      <x:c r="M527" s="28" t="n">
        <x:v>21570936.61</x:v>
      </x:c>
      <x:c r="N527" s="28" t="n">
        <x:v>29955.82</x:v>
      </x:c>
      <x:c r="O527" s="30" t="n">
        <x:f>IFERROR(I527/H527,0)</x:f>
        <x:v>0.0779401530967293</x:v>
      </x:c>
      <x:c r="P527" s="30" t="n">
        <x:f>IFERROR(J527/I527,0)</x:f>
        <x:v>0.06845238095238096</x:v>
      </x:c>
      <x:c r="Q527" s="30" t="n">
        <x:f>IFERROR(K527/J527,0)</x:f>
        <x:v>0.6086956521739131</x:v>
      </x:c>
      <x:c r="R527" s="30" t="n">
        <x:f>IFERROR(L527/K527,0)</x:f>
        <x:v>0.7142857142857143</x:v>
      </x:c>
      <x:c r="S527" s="28" t="n">
        <x:f>IFERROR(N527/J527,0)</x:f>
        <x:v>1302.4269565217392</x:v>
      </x:c>
      <x:c r="T527" s="28" t="n">
        <x:f>IFERROR(N527/K527,0)</x:f>
        <x:v>2139.7014285714286</x:v>
      </x:c>
      <x:c r="U527" s="28" t="n">
        <x:f>IFERROR(N527/L527,0)</x:f>
        <x:v>2995.582</x:v>
      </x:c>
    </x:row>
    <x:row r="528">
      <x:c r="A528" t="n">
        <x:v>527</x:v>
      </x:c>
      <x:c r="B528" s="26" t="n">
        <x:v>46155</x:v>
      </x:c>
      <x:c r="C528" t="str">
        <x:v>CPO_Always_On</x:v>
      </x:c>
      <x:c r="D528" t="str">
        <x:v>SMS</x:v>
      </x:c>
      <x:c r="E528" t="str">
        <x:v>Pequeno Negócio</x:v>
      </x:c>
      <x:c r="F528" t="str">
        <x:v>Huambo</x:v>
      </x:c>
      <x:c r="G528" t="str">
        <x:v>Android</x:v>
      </x:c>
      <x:c r="H528" t="n">
        <x:v>6382</x:v>
      </x:c>
      <x:c r="I528" t="n">
        <x:v>581</x:v>
      </x:c>
      <x:c r="J528" t="n">
        <x:v>52</x:v>
      </x:c>
      <x:c r="K528" t="n">
        <x:v>23</x:v>
      </x:c>
      <x:c r="L528" t="n">
        <x:v>13</x:v>
      </x:c>
      <x:c r="M528" s="28" t="n">
        <x:v>37248097.43</x:v>
      </x:c>
      <x:c r="N528" s="28" t="n">
        <x:v>81967.63</x:v>
      </x:c>
      <x:c r="O528" s="30" t="n">
        <x:f>IFERROR(I528/H528,0)</x:f>
        <x:v>0.09103729238483234</x:v>
      </x:c>
      <x:c r="P528" s="30" t="n">
        <x:f>IFERROR(J528/I528,0)</x:f>
        <x:v>0.08950086058519793</x:v>
      </x:c>
      <x:c r="Q528" s="30" t="n">
        <x:f>IFERROR(K528/J528,0)</x:f>
        <x:v>0.4423076923076923</x:v>
      </x:c>
      <x:c r="R528" s="30" t="n">
        <x:f>IFERROR(L528/K528,0)</x:f>
        <x:v>0.5652173913043478</x:v>
      </x:c>
      <x:c r="S528" s="28" t="n">
        <x:f>IFERROR(N528/J528,0)</x:f>
        <x:v>1576.300576923077</x:v>
      </x:c>
      <x:c r="T528" s="28" t="n">
        <x:f>IFERROR(N528/K528,0)</x:f>
        <x:v>3563.8100000000004</x:v>
      </x:c>
      <x:c r="U528" s="28" t="n">
        <x:f>IFERROR(N528/L528,0)</x:f>
        <x:v>6305.202307692308</x:v>
      </x:c>
    </x:row>
    <x:row r="529">
      <x:c r="A529" t="n">
        <x:v>528</x:v>
      </x:c>
      <x:c r="B529" s="26" t="n">
        <x:v>46155</x:v>
      </x:c>
      <x:c r="C529" t="str">
        <x:v>CPO_Fim_do_Mes</x:v>
      </x:c>
      <x:c r="D529" t="str">
        <x:v>TikTok Ads</x:v>
      </x:c>
      <x:c r="E529" t="str">
        <x:v>Funcionário Público</x:v>
      </x:c>
      <x:c r="F529" t="str">
        <x:v>Benguela</x:v>
      </x:c>
      <x:c r="G529" t="str">
        <x:v>iOS</x:v>
      </x:c>
      <x:c r="H529" t="n">
        <x:v>22009</x:v>
      </x:c>
      <x:c r="I529" t="n">
        <x:v>333</x:v>
      </x:c>
      <x:c r="J529" t="n">
        <x:v>31</x:v>
      </x:c>
      <x:c r="K529" t="n">
        <x:v>20</x:v>
      </x:c>
      <x:c r="L529" t="n">
        <x:v>13</x:v>
      </x:c>
      <x:c r="M529" s="28" t="n">
        <x:v>24221788.76</x:v>
      </x:c>
      <x:c r="N529" s="28" t="n">
        <x:v>24943.4</x:v>
      </x:c>
      <x:c r="O529" s="30" t="n">
        <x:f>IFERROR(I529/H529,0)</x:f>
        <x:v>0.015130174019719205</x:v>
      </x:c>
      <x:c r="P529" s="30" t="n">
        <x:f>IFERROR(J529/I529,0)</x:f>
        <x:v>0.09309309309309309</x:v>
      </x:c>
      <x:c r="Q529" s="30" t="n">
        <x:f>IFERROR(K529/J529,0)</x:f>
        <x:v>0.6451612903225806</x:v>
      </x:c>
      <x:c r="R529" s="30" t="n">
        <x:f>IFERROR(L529/K529,0)</x:f>
        <x:v>0.65</x:v>
      </x:c>
      <x:c r="S529" s="28" t="n">
        <x:f>IFERROR(N529/J529,0)</x:f>
        <x:v>804.6258064516129</x:v>
      </x:c>
      <x:c r="T529" s="28" t="n">
        <x:f>IFERROR(N529/K529,0)</x:f>
        <x:v>1247.17</x:v>
      </x:c>
      <x:c r="U529" s="28" t="n">
        <x:f>IFERROR(N529/L529,0)</x:f>
        <x:v>1918.723076923077</x:v>
      </x:c>
    </x:row>
    <x:row r="530">
      <x:c r="A530" t="n">
        <x:v>529</x:v>
      </x:c>
      <x:c r="B530" s="26" t="n">
        <x:v>46155</x:v>
      </x:c>
      <x:c r="C530" t="str">
        <x:v>CPO_Premium</x:v>
      </x:c>
      <x:c r="D530" t="str">
        <x:v>Meta Ads</x:v>
      </x:c>
      <x:c r="E530" t="str">
        <x:v>Jovem Profissional</x:v>
      </x:c>
      <x:c r="F530" t="str">
        <x:v>Luanda</x:v>
      </x:c>
      <x:c r="G530" t="str">
        <x:v>iOS</x:v>
      </x:c>
      <x:c r="H530" t="n">
        <x:v>5884</x:v>
      </x:c>
      <x:c r="I530" t="n">
        <x:v>119</x:v>
      </x:c>
      <x:c r="J530" t="n">
        <x:v>14</x:v>
      </x:c>
      <x:c r="K530" t="n">
        <x:v>7</x:v>
      </x:c>
      <x:c r="L530" t="n">
        <x:v>4</x:v>
      </x:c>
      <x:c r="M530" s="28" t="n">
        <x:v>5930995.53</x:v>
      </x:c>
      <x:c r="N530" s="28" t="n">
        <x:v>12652.73</x:v>
      </x:c>
      <x:c r="O530" s="30" t="n">
        <x:f>IFERROR(I530/H530,0)</x:f>
        <x:v>0.020224337185588036</x:v>
      </x:c>
      <x:c r="P530" s="30" t="n">
        <x:f>IFERROR(J530/I530,0)</x:f>
        <x:v>0.11764705882352941</x:v>
      </x:c>
      <x:c r="Q530" s="30" t="n">
        <x:f>IFERROR(K530/J530,0)</x:f>
        <x:v>0.5</x:v>
      </x:c>
      <x:c r="R530" s="30" t="n">
        <x:f>IFERROR(L530/K530,0)</x:f>
        <x:v>0.5714285714285714</x:v>
      </x:c>
      <x:c r="S530" s="28" t="n">
        <x:f>IFERROR(N530/J530,0)</x:f>
        <x:v>903.7664285714285</x:v>
      </x:c>
      <x:c r="T530" s="28" t="n">
        <x:f>IFERROR(N530/K530,0)</x:f>
        <x:v>1807.532857142857</x:v>
      </x:c>
      <x:c r="U530" s="28" t="n">
        <x:f>IFERROR(N530/L530,0)</x:f>
        <x:v>3163.1825</x:v>
      </x:c>
    </x:row>
    <x:row r="531">
      <x:c r="A531" t="n">
        <x:v>530</x:v>
      </x:c>
      <x:c r="B531" s="26" t="n">
        <x:v>46155</x:v>
      </x:c>
      <x:c r="C531" t="str">
        <x:v>CPO_Digital_360</x:v>
      </x:c>
      <x:c r="D531" t="str">
        <x:v>Meta Ads</x:v>
      </x:c>
      <x:c r="E531" t="str">
        <x:v>Premium</x:v>
      </x:c>
      <x:c r="F531" t="str">
        <x:v>Luanda</x:v>
      </x:c>
      <x:c r="G531" t="str">
        <x:v>Desktop</x:v>
      </x:c>
      <x:c r="H531" t="n">
        <x:v>6236</x:v>
      </x:c>
      <x:c r="I531" t="n">
        <x:v>106</x:v>
      </x:c>
      <x:c r="J531" t="n">
        <x:v>16</x:v>
      </x:c>
      <x:c r="K531" t="n">
        <x:v>11</x:v>
      </x:c>
      <x:c r="L531" t="n">
        <x:v>9</x:v>
      </x:c>
      <x:c r="M531" s="28" t="n">
        <x:v>49797486.5</x:v>
      </x:c>
      <x:c r="N531" s="28" t="n">
        <x:v>11121.02</x:v>
      </x:c>
      <x:c r="O531" s="30" t="n">
        <x:f>IFERROR(I531/H531,0)</x:f>
        <x:v>0.01699807568954458</x:v>
      </x:c>
      <x:c r="P531" s="30" t="n">
        <x:f>IFERROR(J531/I531,0)</x:f>
        <x:v>0.1509433962264151</x:v>
      </x:c>
      <x:c r="Q531" s="30" t="n">
        <x:f>IFERROR(K531/J531,0)</x:f>
        <x:v>0.6875</x:v>
      </x:c>
      <x:c r="R531" s="30" t="n">
        <x:f>IFERROR(L531/K531,0)</x:f>
        <x:v>0.8181818181818182</x:v>
      </x:c>
      <x:c r="S531" s="28" t="n">
        <x:f>IFERROR(N531/J531,0)</x:f>
        <x:v>695.06375</x:v>
      </x:c>
      <x:c r="T531" s="28" t="n">
        <x:f>IFERROR(N531/K531,0)</x:f>
        <x:v>1011.0018181818182</x:v>
      </x:c>
      <x:c r="U531" s="28" t="n">
        <x:f>IFERROR(N531/L531,0)</x:f>
        <x:v>1235.668888888889</x:v>
      </x:c>
    </x:row>
    <x:row r="532">
      <x:c r="A532" t="n">
        <x:v>531</x:v>
      </x:c>
      <x:c r="B532" s="26" t="n">
        <x:v>46155</x:v>
      </x:c>
      <x:c r="C532" t="str">
        <x:v>CPO_Digital_360</x:v>
      </x:c>
      <x:c r="D532" t="str">
        <x:v>E-mail</x:v>
      </x:c>
      <x:c r="E532" t="str">
        <x:v>Pequeno Negócio</x:v>
      </x:c>
      <x:c r="F532" t="str">
        <x:v>Luanda</x:v>
      </x:c>
      <x:c r="G532" t="str">
        <x:v>Desktop</x:v>
      </x:c>
      <x:c r="H532" t="n">
        <x:v>3920</x:v>
      </x:c>
      <x:c r="I532" t="n">
        <x:v>221</x:v>
      </x:c>
      <x:c r="J532" t="n">
        <x:v>21</x:v>
      </x:c>
      <x:c r="K532" t="n">
        <x:v>8</x:v>
      </x:c>
      <x:c r="L532" t="n">
        <x:v>4</x:v>
      </x:c>
      <x:c r="M532" s="28" t="n">
        <x:v>7398872.23</x:v>
      </x:c>
      <x:c r="N532" s="28" t="n">
        <x:v>56417.02</x:v>
      </x:c>
      <x:c r="O532" s="30" t="n">
        <x:f>IFERROR(I532/H532,0)</x:f>
        <x:v>0.056377551020408166</x:v>
      </x:c>
      <x:c r="P532" s="30" t="n">
        <x:f>IFERROR(J532/I532,0)</x:f>
        <x:v>0.09502262443438914</x:v>
      </x:c>
      <x:c r="Q532" s="30" t="n">
        <x:f>IFERROR(K532/J532,0)</x:f>
        <x:v>0.38095238095238093</x:v>
      </x:c>
      <x:c r="R532" s="30" t="n">
        <x:f>IFERROR(L532/K532,0)</x:f>
        <x:v>0.5</x:v>
      </x:c>
      <x:c r="S532" s="28" t="n">
        <x:f>IFERROR(N532/J532,0)</x:f>
        <x:v>2686.524761904762</x:v>
      </x:c>
      <x:c r="T532" s="28" t="n">
        <x:f>IFERROR(N532/K532,0)</x:f>
        <x:v>7052.1275</x:v>
      </x:c>
      <x:c r="U532" s="28" t="n">
        <x:f>IFERROR(N532/L532,0)</x:f>
        <x:v>14104.255</x:v>
      </x:c>
    </x:row>
    <x:row r="533">
      <x:c r="A533" t="n">
        <x:v>532</x:v>
      </x:c>
      <x:c r="B533" s="26" t="n">
        <x:v>46156</x:v>
      </x:c>
      <x:c r="C533" t="str">
        <x:v>CPO_Acesso_Rapido</x:v>
      </x:c>
      <x:c r="D533" t="str">
        <x:v>Meta Ads</x:v>
      </x:c>
      <x:c r="E533" t="str">
        <x:v>Funcionário Público</x:v>
      </x:c>
      <x:c r="F533" t="str">
        <x:v>Uíge</x:v>
      </x:c>
      <x:c r="G533" t="str">
        <x:v>Android</x:v>
      </x:c>
      <x:c r="H533" t="n">
        <x:v>13720</x:v>
      </x:c>
      <x:c r="I533" t="n">
        <x:v>297</x:v>
      </x:c>
      <x:c r="J533" t="n">
        <x:v>27</x:v>
      </x:c>
      <x:c r="K533" t="n">
        <x:v>15</x:v>
      </x:c>
      <x:c r="L533" t="n">
        <x:v>10</x:v>
      </x:c>
      <x:c r="M533" s="28" t="n">
        <x:v>23224196.06</x:v>
      </x:c>
      <x:c r="N533" s="28" t="n">
        <x:v>32468.69</x:v>
      </x:c>
      <x:c r="O533" s="30" t="n">
        <x:f>IFERROR(I533/H533,0)</x:f>
        <x:v>0.02164723032069971</x:v>
      </x:c>
      <x:c r="P533" s="30" t="n">
        <x:f>IFERROR(J533/I533,0)</x:f>
        <x:v>0.09090909090909091</x:v>
      </x:c>
      <x:c r="Q533" s="30" t="n">
        <x:f>IFERROR(K533/J533,0)</x:f>
        <x:v>0.5555555555555556</x:v>
      </x:c>
      <x:c r="R533" s="30" t="n">
        <x:f>IFERROR(L533/K533,0)</x:f>
        <x:v>0.6666666666666666</x:v>
      </x:c>
      <x:c r="S533" s="28" t="n">
        <x:f>IFERROR(N533/J533,0)</x:f>
        <x:v>1202.544074074074</x:v>
      </x:c>
      <x:c r="T533" s="28" t="n">
        <x:f>IFERROR(N533/K533,0)</x:f>
        <x:v>2164.579333333333</x:v>
      </x:c>
      <x:c r="U533" s="28" t="n">
        <x:f>IFERROR(N533/L533,0)</x:f>
        <x:v>3246.8689999999997</x:v>
      </x:c>
    </x:row>
    <x:row r="534">
      <x:c r="A534" t="n">
        <x:v>533</x:v>
      </x:c>
      <x:c r="B534" s="26" t="n">
        <x:v>46156</x:v>
      </x:c>
      <x:c r="C534" t="str">
        <x:v>CPO_Fim_do_Mes</x:v>
      </x:c>
      <x:c r="D534" t="str">
        <x:v>Google Ads</x:v>
      </x:c>
      <x:c r="E534" t="str">
        <x:v>Pequeno Negócio</x:v>
      </x:c>
      <x:c r="F534" t="str">
        <x:v>Luanda</x:v>
      </x:c>
      <x:c r="G534" t="str">
        <x:v>Android</x:v>
      </x:c>
      <x:c r="H534" t="n">
        <x:v>3565</x:v>
      </x:c>
      <x:c r="I534" t="n">
        <x:v>127</x:v>
      </x:c>
      <x:c r="J534" t="n">
        <x:v>20</x:v>
      </x:c>
      <x:c r="K534" t="n">
        <x:v>6</x:v>
      </x:c>
      <x:c r="L534" t="n">
        <x:v>3</x:v>
      </x:c>
      <x:c r="M534" s="28" t="n">
        <x:v>9373538.09</x:v>
      </x:c>
      <x:c r="N534" s="28" t="n">
        <x:v>16998.76</x:v>
      </x:c>
      <x:c r="O534" s="30" t="n">
        <x:f>IFERROR(I534/H534,0)</x:f>
        <x:v>0.03562412342215989</x:v>
      </x:c>
      <x:c r="P534" s="30" t="n">
        <x:f>IFERROR(J534/I534,0)</x:f>
        <x:v>0.15748031496062992</x:v>
      </x:c>
      <x:c r="Q534" s="30" t="n">
        <x:f>IFERROR(K534/J534,0)</x:f>
        <x:v>0.3</x:v>
      </x:c>
      <x:c r="R534" s="30" t="n">
        <x:f>IFERROR(L534/K534,0)</x:f>
        <x:v>0.5</x:v>
      </x:c>
      <x:c r="S534" s="28" t="n">
        <x:f>IFERROR(N534/J534,0)</x:f>
        <x:v>849.9379999999999</x:v>
      </x:c>
      <x:c r="T534" s="28" t="n">
        <x:f>IFERROR(N534/K534,0)</x:f>
        <x:v>2833.1266666666666</x:v>
      </x:c>
      <x:c r="U534" s="28" t="n">
        <x:f>IFERROR(N534/L534,0)</x:f>
        <x:v>5666.253333333333</x:v>
      </x:c>
    </x:row>
    <x:row r="535">
      <x:c r="A535" t="n">
        <x:v>534</x:v>
      </x:c>
      <x:c r="B535" s="26" t="n">
        <x:v>46156</x:v>
      </x:c>
      <x:c r="C535" t="str">
        <x:v>CPO_Always_On</x:v>
      </x:c>
      <x:c r="D535" t="str">
        <x:v>E-mail</x:v>
      </x:c>
      <x:c r="E535" t="str">
        <x:v>Premium</x:v>
      </x:c>
      <x:c r="F535" t="str">
        <x:v>Luanda</x:v>
      </x:c>
      <x:c r="G535" t="str">
        <x:v>Android</x:v>
      </x:c>
      <x:c r="H535" t="n">
        <x:v>10807</x:v>
      </x:c>
      <x:c r="I535" t="n">
        <x:v>617</x:v>
      </x:c>
      <x:c r="J535" t="n">
        <x:v>74</x:v>
      </x:c>
      <x:c r="K535" t="n">
        <x:v>59</x:v>
      </x:c>
      <x:c r="L535" t="n">
        <x:v>52</x:v>
      </x:c>
      <x:c r="M535" s="28" t="n">
        <x:v>268471688.36</x:v>
      </x:c>
      <x:c r="N535" s="28" t="n">
        <x:v>180563.85</x:v>
      </x:c>
      <x:c r="O535" s="30" t="n">
        <x:f>IFERROR(I535/H535,0)</x:f>
        <x:v>0.057092625150365506</x:v>
      </x:c>
      <x:c r="P535" s="30" t="n">
        <x:f>IFERROR(J535/I535,0)</x:f>
        <x:v>0.11993517017828201</x:v>
      </x:c>
      <x:c r="Q535" s="30" t="n">
        <x:f>IFERROR(K535/J535,0)</x:f>
        <x:v>0.7972972972972973</x:v>
      </x:c>
      <x:c r="R535" s="30" t="n">
        <x:f>IFERROR(L535/K535,0)</x:f>
        <x:v>0.8813559322033898</x:v>
      </x:c>
      <x:c r="S535" s="28" t="n">
        <x:f>IFERROR(N535/J535,0)</x:f>
        <x:v>2440.052027027027</x:v>
      </x:c>
      <x:c r="T535" s="28" t="n">
        <x:f>IFERROR(N535/K535,0)</x:f>
        <x:v>3060.404237288136</x:v>
      </x:c>
      <x:c r="U535" s="28" t="n">
        <x:f>IFERROR(N535/L535,0)</x:f>
        <x:v>3472.3817307692307</x:v>
      </x:c>
    </x:row>
    <x:row r="536">
      <x:c r="A536" t="n">
        <x:v>535</x:v>
      </x:c>
      <x:c r="B536" s="26" t="n">
        <x:v>46157</x:v>
      </x:c>
      <x:c r="C536" t="str">
        <x:v>CPO_Salario</x:v>
      </x:c>
      <x:c r="D536" t="str">
        <x:v>Google Ads</x:v>
      </x:c>
      <x:c r="E536" t="str">
        <x:v>Jovem Profissional</x:v>
      </x:c>
      <x:c r="F536" t="str">
        <x:v>Uíge</x:v>
      </x:c>
      <x:c r="G536" t="str">
        <x:v>Android</x:v>
      </x:c>
      <x:c r="H536" t="n">
        <x:v>10602</x:v>
      </x:c>
      <x:c r="I536" t="n">
        <x:v>331</x:v>
      </x:c>
      <x:c r="J536" t="n">
        <x:v>54</x:v>
      </x:c>
      <x:c r="K536" t="n">
        <x:v>31</x:v>
      </x:c>
      <x:c r="L536" t="n">
        <x:v>20</x:v>
      </x:c>
      <x:c r="M536" s="28" t="n">
        <x:v>28239474.29</x:v>
      </x:c>
      <x:c r="N536" s="28" t="n">
        <x:v>24188.8</x:v>
      </x:c>
      <x:c r="O536" s="30" t="n">
        <x:f>IFERROR(I536/H536,0)</x:f>
        <x:v>0.031220524429352952</x:v>
      </x:c>
      <x:c r="P536" s="30" t="n">
        <x:f>IFERROR(J536/I536,0)</x:f>
        <x:v>0.16314199395770393</x:v>
      </x:c>
      <x:c r="Q536" s="30" t="n">
        <x:f>IFERROR(K536/J536,0)</x:f>
        <x:v>0.5740740740740741</x:v>
      </x:c>
      <x:c r="R536" s="30" t="n">
        <x:f>IFERROR(L536/K536,0)</x:f>
        <x:v>0.6451612903225806</x:v>
      </x:c>
      <x:c r="S536" s="28" t="n">
        <x:f>IFERROR(N536/J536,0)</x:f>
        <x:v>447.94074074074075</x:v>
      </x:c>
      <x:c r="T536" s="28" t="n">
        <x:f>IFERROR(N536/K536,0)</x:f>
        <x:v>780.2838709677419</x:v>
      </x:c>
      <x:c r="U536" s="28" t="n">
        <x:f>IFERROR(N536/L536,0)</x:f>
        <x:v>1209.44</x:v>
      </x:c>
    </x:row>
    <x:row r="537">
      <x:c r="A537" t="n">
        <x:v>536</x:v>
      </x:c>
      <x:c r="B537" s="26" t="n">
        <x:v>46157</x:v>
      </x:c>
      <x:c r="C537" t="str">
        <x:v>CPO_Salario</x:v>
      </x:c>
      <x:c r="D537" t="str">
        <x:v>Google Ads</x:v>
      </x:c>
      <x:c r="E537" t="str">
        <x:v>Jovem Profissional</x:v>
      </x:c>
      <x:c r="F537" t="str">
        <x:v>Uíge</x:v>
      </x:c>
      <x:c r="G537" t="str">
        <x:v>Android</x:v>
      </x:c>
      <x:c r="H537" t="n">
        <x:v>15414</x:v>
      </x:c>
      <x:c r="I537" t="n">
        <x:v>601</x:v>
      </x:c>
      <x:c r="J537" t="n">
        <x:v>85</x:v>
      </x:c>
      <x:c r="K537" t="n">
        <x:v>53</x:v>
      </x:c>
      <x:c r="L537" t="n">
        <x:v>37</x:v>
      </x:c>
      <x:c r="M537" s="28" t="n">
        <x:v>49286514.46</x:v>
      </x:c>
      <x:c r="N537" s="28" t="n">
        <x:v>65941.17</x:v>
      </x:c>
      <x:c r="O537" s="30" t="n">
        <x:f>IFERROR(I537/H537,0)</x:f>
        <x:v>0.03899052809134553</x:v>
      </x:c>
      <x:c r="P537" s="30" t="n">
        <x:f>IFERROR(J537/I537,0)</x:f>
        <x:v>0.14143094841930118</x:v>
      </x:c>
      <x:c r="Q537" s="30" t="n">
        <x:f>IFERROR(K537/J537,0)</x:f>
        <x:v>0.6235294117647059</x:v>
      </x:c>
      <x:c r="R537" s="30" t="n">
        <x:f>IFERROR(L537/K537,0)</x:f>
        <x:v>0.6981132075471698</x:v>
      </x:c>
      <x:c r="S537" s="28" t="n">
        <x:f>IFERROR(N537/J537,0)</x:f>
        <x:v>775.7784705882352</x:v>
      </x:c>
      <x:c r="T537" s="28" t="n">
        <x:f>IFERROR(N537/K537,0)</x:f>
        <x:v>1244.1730188679244</x:v>
      </x:c>
      <x:c r="U537" s="28" t="n">
        <x:f>IFERROR(N537/L537,0)</x:f>
        <x:v>1782.1937837837838</x:v>
      </x:c>
    </x:row>
    <x:row r="538">
      <x:c r="A538" t="n">
        <x:v>537</x:v>
      </x:c>
      <x:c r="B538" s="26" t="n">
        <x:v>46157</x:v>
      </x:c>
      <x:c r="C538" t="str">
        <x:v>CPO_Always_On</x:v>
      </x:c>
      <x:c r="D538" t="str">
        <x:v>BAI Directo/App</x:v>
      </x:c>
      <x:c r="E538" t="str">
        <x:v>Jovem Profissional</x:v>
      </x:c>
      <x:c r="F538" t="str">
        <x:v>Luanda</x:v>
      </x:c>
      <x:c r="G538" t="str">
        <x:v>Android</x:v>
      </x:c>
      <x:c r="H538" t="n">
        <x:v>7466</x:v>
      </x:c>
      <x:c r="I538" t="n">
        <x:v>763</x:v>
      </x:c>
      <x:c r="J538" t="n">
        <x:v>181</x:v>
      </x:c>
      <x:c r="K538" t="n">
        <x:v>107</x:v>
      </x:c>
      <x:c r="L538" t="n">
        <x:v>71</x:v>
      </x:c>
      <x:c r="M538" s="28" t="n">
        <x:v>94530640.84</x:v>
      </x:c>
      <x:c r="N538" s="28" t="n">
        <x:v>127977.25</x:v>
      </x:c>
      <x:c r="O538" s="30" t="n">
        <x:f>IFERROR(I538/H538,0)</x:f>
        <x:v>0.1021966246986338</x:v>
      </x:c>
      <x:c r="P538" s="30" t="n">
        <x:f>IFERROR(J538/I538,0)</x:f>
        <x:v>0.23722149410222804</x:v>
      </x:c>
      <x:c r="Q538" s="30" t="n">
        <x:f>IFERROR(K538/J538,0)</x:f>
        <x:v>0.5911602209944752</x:v>
      </x:c>
      <x:c r="R538" s="30" t="n">
        <x:f>IFERROR(L538/K538,0)</x:f>
        <x:v>0.6635514018691588</x:v>
      </x:c>
      <x:c r="S538" s="28" t="n">
        <x:f>IFERROR(N538/J538,0)</x:f>
        <x:v>707.0566298342542</x:v>
      </x:c>
      <x:c r="T538" s="28" t="n">
        <x:f>IFERROR(N538/K538,0)</x:f>
        <x:v>1196.0490654205607</x:v>
      </x:c>
      <x:c r="U538" s="28" t="n">
        <x:f>IFERROR(N538/L538,0)</x:f>
        <x:v>1802.4964788732395</x:v>
      </x:c>
    </x:row>
    <x:row r="539">
      <x:c r="A539" t="n">
        <x:v>538</x:v>
      </x:c>
      <x:c r="B539" s="26" t="n">
        <x:v>46157</x:v>
      </x:c>
      <x:c r="C539" t="str">
        <x:v>CPO_Digital_360</x:v>
      </x:c>
      <x:c r="D539" t="str">
        <x:v>Google Ads</x:v>
      </x:c>
      <x:c r="E539" t="str">
        <x:v>Premium</x:v>
      </x:c>
      <x:c r="F539" t="str">
        <x:v>Benguela</x:v>
      </x:c>
      <x:c r="G539" t="str">
        <x:v>Android</x:v>
      </x:c>
      <x:c r="H539" t="n">
        <x:v>16698</x:v>
      </x:c>
      <x:c r="I539" t="n">
        <x:v>481</x:v>
      </x:c>
      <x:c r="J539" t="n">
        <x:v>105</x:v>
      </x:c>
      <x:c r="K539" t="n">
        <x:v>72</x:v>
      </x:c>
      <x:c r="L539" t="n">
        <x:v>61</x:v>
      </x:c>
      <x:c r="M539" s="28" t="n">
        <x:v>317978417.73</x:v>
      </x:c>
      <x:c r="N539" s="28" t="n">
        <x:v>88800.58</x:v>
      </x:c>
      <x:c r="O539" s="30" t="n">
        <x:f>IFERROR(I539/H539,0)</x:f>
        <x:v>0.02880584501137861</x:v>
      </x:c>
      <x:c r="P539" s="30" t="n">
        <x:f>IFERROR(J539/I539,0)</x:f>
        <x:v>0.2182952182952183</x:v>
      </x:c>
      <x:c r="Q539" s="30" t="n">
        <x:f>IFERROR(K539/J539,0)</x:f>
        <x:v>0.6857142857142857</x:v>
      </x:c>
      <x:c r="R539" s="30" t="n">
        <x:f>IFERROR(L539/K539,0)</x:f>
        <x:v>0.8472222222222222</x:v>
      </x:c>
      <x:c r="S539" s="28" t="n">
        <x:f>IFERROR(N539/J539,0)</x:f>
        <x:v>845.7198095238095</x:v>
      </x:c>
      <x:c r="T539" s="28" t="n">
        <x:f>IFERROR(N539/K539,0)</x:f>
        <x:v>1233.341388888889</x:v>
      </x:c>
      <x:c r="U539" s="28" t="n">
        <x:f>IFERROR(N539/L539,0)</x:f>
        <x:v>1455.7472131147542</x:v>
      </x:c>
    </x:row>
    <x:row r="540">
      <x:c r="A540" t="n">
        <x:v>539</x:v>
      </x:c>
      <x:c r="B540" s="26" t="n">
        <x:v>46157</x:v>
      </x:c>
      <x:c r="C540" t="str">
        <x:v>CPO_Digital_360</x:v>
      </x:c>
      <x:c r="D540" t="str">
        <x:v>TikTok Ads</x:v>
      </x:c>
      <x:c r="E540" t="str">
        <x:v>Funcionário Público</x:v>
      </x:c>
      <x:c r="F540" t="str">
        <x:v>Luanda</x:v>
      </x:c>
      <x:c r="G540" t="str">
        <x:v>Android</x:v>
      </x:c>
      <x:c r="H540" t="n">
        <x:v>23701</x:v>
      </x:c>
      <x:c r="I540" t="n">
        <x:v>480</x:v>
      </x:c>
      <x:c r="J540" t="n">
        <x:v>49</x:v>
      </x:c>
      <x:c r="K540" t="n">
        <x:v>36</x:v>
      </x:c>
      <x:c r="L540" t="n">
        <x:v>24</x:v>
      </x:c>
      <x:c r="M540" s="28" t="n">
        <x:v>47615864.69</x:v>
      </x:c>
      <x:c r="N540" s="28" t="n">
        <x:v>54590.51</x:v>
      </x:c>
      <x:c r="O540" s="30" t="n">
        <x:f>IFERROR(I540/H540,0)</x:f>
        <x:v>0.020252310029112694</x:v>
      </x:c>
      <x:c r="P540" s="30" t="n">
        <x:f>IFERROR(J540/I540,0)</x:f>
        <x:v>0.10208333333333333</x:v>
      </x:c>
      <x:c r="Q540" s="30" t="n">
        <x:f>IFERROR(K540/J540,0)</x:f>
        <x:v>0.7346938775510204</x:v>
      </x:c>
      <x:c r="R540" s="30" t="n">
        <x:f>IFERROR(L540/K540,0)</x:f>
        <x:v>0.6666666666666666</x:v>
      </x:c>
      <x:c r="S540" s="28" t="n">
        <x:f>IFERROR(N540/J540,0)</x:f>
        <x:v>1114.0920408163265</x:v>
      </x:c>
      <x:c r="T540" s="28" t="n">
        <x:f>IFERROR(N540/K540,0)</x:f>
        <x:v>1516.4030555555555</x:v>
      </x:c>
      <x:c r="U540" s="28" t="n">
        <x:f>IFERROR(N540/L540,0)</x:f>
        <x:v>2274.6045833333333</x:v>
      </x:c>
    </x:row>
    <x:row r="541">
      <x:c r="A541" t="n">
        <x:v>540</x:v>
      </x:c>
      <x:c r="B541" s="26" t="n">
        <x:v>46158</x:v>
      </x:c>
      <x:c r="C541" t="str">
        <x:v>CPO_Always_On</x:v>
      </x:c>
      <x:c r="D541" t="str">
        <x:v>Google Ads</x:v>
      </x:c>
      <x:c r="E541" t="str">
        <x:v>Funcionário Público</x:v>
      </x:c>
      <x:c r="F541" t="str">
        <x:v>Luanda</x:v>
      </x:c>
      <x:c r="G541" t="str">
        <x:v>iOS</x:v>
      </x:c>
      <x:c r="H541" t="n">
        <x:v>14099</x:v>
      </x:c>
      <x:c r="I541" t="n">
        <x:v>528</x:v>
      </x:c>
      <x:c r="J541" t="n">
        <x:v>104</x:v>
      </x:c>
      <x:c r="K541" t="n">
        <x:v>73</x:v>
      </x:c>
      <x:c r="L541" t="n">
        <x:v>52</x:v>
      </x:c>
      <x:c r="M541" s="28" t="n">
        <x:v>99436288.64</x:v>
      </x:c>
      <x:c r="N541" s="28" t="n">
        <x:v>91301.6</x:v>
      </x:c>
      <x:c r="O541" s="30" t="n">
        <x:f>IFERROR(I541/H541,0)</x:f>
        <x:v>0.03744946450102844</x:v>
      </x:c>
      <x:c r="P541" s="30" t="n">
        <x:f>IFERROR(J541/I541,0)</x:f>
        <x:v>0.19696969696969696</x:v>
      </x:c>
      <x:c r="Q541" s="30" t="n">
        <x:f>IFERROR(K541/J541,0)</x:f>
        <x:v>0.7019230769230769</x:v>
      </x:c>
      <x:c r="R541" s="30" t="n">
        <x:f>IFERROR(L541/K541,0)</x:f>
        <x:v>0.7123287671232876</x:v>
      </x:c>
      <x:c r="S541" s="28" t="n">
        <x:f>IFERROR(N541/J541,0)</x:f>
        <x:v>877.9000000000001</x:v>
      </x:c>
      <x:c r="T541" s="28" t="n">
        <x:f>IFERROR(N541/K541,0)</x:f>
        <x:v>1250.7068493150687</x:v>
      </x:c>
      <x:c r="U541" s="28" t="n">
        <x:f>IFERROR(N541/L541,0)</x:f>
        <x:v>1755.8000000000002</x:v>
      </x:c>
    </x:row>
    <x:row r="542">
      <x:c r="A542" t="n">
        <x:v>541</x:v>
      </x:c>
      <x:c r="B542" s="26" t="n">
        <x:v>46158</x:v>
      </x:c>
      <x:c r="C542" t="str">
        <x:v>CPO_Digital_360</x:v>
      </x:c>
      <x:c r="D542" t="str">
        <x:v>TikTok Ads</x:v>
      </x:c>
      <x:c r="E542" t="str">
        <x:v>Pequeno Negócio</x:v>
      </x:c>
      <x:c r="F542" t="str">
        <x:v>Luanda</x:v>
      </x:c>
      <x:c r="G542" t="str">
        <x:v>Android</x:v>
      </x:c>
      <x:c r="H542" t="n">
        <x:v>5048</x:v>
      </x:c>
      <x:c r="I542" t="n">
        <x:v>86</x:v>
      </x:c>
      <x:c r="J542" t="n">
        <x:v>7</x:v>
      </x:c>
      <x:c r="K542" t="n">
        <x:v>3</x:v>
      </x:c>
      <x:c r="L542" t="n">
        <x:v>1</x:v>
      </x:c>
      <x:c r="M542" s="28" t="n">
        <x:v>4008371.96</x:v>
      </x:c>
      <x:c r="N542" s="28" t="n">
        <x:v>8050.46</x:v>
      </x:c>
      <x:c r="O542" s="30" t="n">
        <x:f>IFERROR(I542/H542,0)</x:f>
        <x:v>0.017036450079239304</x:v>
      </x:c>
      <x:c r="P542" s="30" t="n">
        <x:f>IFERROR(J542/I542,0)</x:f>
        <x:v>0.08139534883720931</x:v>
      </x:c>
      <x:c r="Q542" s="30" t="n">
        <x:f>IFERROR(K542/J542,0)</x:f>
        <x:v>0.42857142857142855</x:v>
      </x:c>
      <x:c r="R542" s="30" t="n">
        <x:f>IFERROR(L542/K542,0)</x:f>
        <x:v>0.3333333333333333</x:v>
      </x:c>
      <x:c r="S542" s="28" t="n">
        <x:f>IFERROR(N542/J542,0)</x:f>
        <x:v>1150.0657142857142</x:v>
      </x:c>
      <x:c r="T542" s="28" t="n">
        <x:f>IFERROR(N542/K542,0)</x:f>
        <x:v>2683.4866666666667</x:v>
      </x:c>
      <x:c r="U542" s="28" t="n">
        <x:f>IFERROR(N542/L542,0)</x:f>
        <x:v>8050.46</x:v>
      </x:c>
    </x:row>
    <x:row r="543">
      <x:c r="A543" t="n">
        <x:v>542</x:v>
      </x:c>
      <x:c r="B543" s="26" t="n">
        <x:v>46158</x:v>
      </x:c>
      <x:c r="C543" t="str">
        <x:v>CPO_Premium</x:v>
      </x:c>
      <x:c r="D543" t="str">
        <x:v>Google Ads</x:v>
      </x:c>
      <x:c r="E543" t="str">
        <x:v>Pequeno Negócio</x:v>
      </x:c>
      <x:c r="F543" t="str">
        <x:v>Cuanza Sul</x:v>
      </x:c>
      <x:c r="G543" t="str">
        <x:v>Android</x:v>
      </x:c>
      <x:c r="H543" t="n">
        <x:v>21186</x:v>
      </x:c>
      <x:c r="I543" t="n">
        <x:v>658</x:v>
      </x:c>
      <x:c r="J543" t="n">
        <x:v>102</x:v>
      </x:c>
      <x:c r="K543" t="n">
        <x:v>41</x:v>
      </x:c>
      <x:c r="L543" t="n">
        <x:v>22</x:v>
      </x:c>
      <x:c r="M543" s="28" t="n">
        <x:v>68137656.72</x:v>
      </x:c>
      <x:c r="N543" s="28" t="n">
        <x:v>98888.44</x:v>
      </x:c>
      <x:c r="O543" s="30" t="n">
        <x:f>IFERROR(I543/H543,0)</x:f>
        <x:v>0.03105824601151704</x:v>
      </x:c>
      <x:c r="P543" s="30" t="n">
        <x:f>IFERROR(J543/I543,0)</x:f>
        <x:v>0.15501519756838905</x:v>
      </x:c>
      <x:c r="Q543" s="30" t="n">
        <x:f>IFERROR(K543/J543,0)</x:f>
        <x:v>0.4019607843137255</x:v>
      </x:c>
      <x:c r="R543" s="30" t="n">
        <x:f>IFERROR(L543/K543,0)</x:f>
        <x:v>0.5365853658536586</x:v>
      </x:c>
      <x:c r="S543" s="28" t="n">
        <x:f>IFERROR(N543/J543,0)</x:f>
        <x:v>969.4945098039216</x:v>
      </x:c>
      <x:c r="T543" s="28" t="n">
        <x:f>IFERROR(N543/K543,0)</x:f>
        <x:v>2411.9131707317074</x:v>
      </x:c>
      <x:c r="U543" s="28" t="n">
        <x:f>IFERROR(N543/L543,0)</x:f>
        <x:v>4494.929090909091</x:v>
      </x:c>
    </x:row>
    <x:row r="544">
      <x:c r="A544" t="n">
        <x:v>543</x:v>
      </x:c>
      <x:c r="B544" s="26" t="n">
        <x:v>46158</x:v>
      </x:c>
      <x:c r="C544" t="str">
        <x:v>CPO_Acesso_Rapido</x:v>
      </x:c>
      <x:c r="D544" t="str">
        <x:v>Google Ads</x:v>
      </x:c>
      <x:c r="E544" t="str">
        <x:v>Premium</x:v>
      </x:c>
      <x:c r="F544" t="str">
        <x:v>Cabinda</x:v>
      </x:c>
      <x:c r="G544" t="str">
        <x:v>Android</x:v>
      </x:c>
      <x:c r="H544" t="n">
        <x:v>21556</x:v>
      </x:c>
      <x:c r="I544" t="n">
        <x:v>701</x:v>
      </x:c>
      <x:c r="J544" t="n">
        <x:v>90</x:v>
      </x:c>
      <x:c r="K544" t="n">
        <x:v>74</x:v>
      </x:c>
      <x:c r="L544" t="n">
        <x:v>61</x:v>
      </x:c>
      <x:c r="M544" s="28" t="n">
        <x:v>325459890.74</x:v>
      </x:c>
      <x:c r="N544" s="28" t="n">
        <x:v>114632</x:v>
      </x:c>
      <x:c r="O544" s="30" t="n">
        <x:f>IFERROR(I544/H544,0)</x:f>
        <x:v>0.03251994804230841</x:v>
      </x:c>
      <x:c r="P544" s="30" t="n">
        <x:f>IFERROR(J544/I544,0)</x:f>
        <x:v>0.12838801711840228</x:v>
      </x:c>
      <x:c r="Q544" s="30" t="n">
        <x:f>IFERROR(K544/J544,0)</x:f>
        <x:v>0.8222222222222222</x:v>
      </x:c>
      <x:c r="R544" s="30" t="n">
        <x:f>IFERROR(L544/K544,0)</x:f>
        <x:v>0.8243243243243243</x:v>
      </x:c>
      <x:c r="S544" s="28" t="n">
        <x:f>IFERROR(N544/J544,0)</x:f>
        <x:v>1273.6888888888889</x:v>
      </x:c>
      <x:c r="T544" s="28" t="n">
        <x:f>IFERROR(N544/K544,0)</x:f>
        <x:v>1549.081081081081</x:v>
      </x:c>
      <x:c r="U544" s="28" t="n">
        <x:f>IFERROR(N544/L544,0)</x:f>
        <x:v>1879.2131147540983</x:v>
      </x:c>
    </x:row>
    <x:row r="545">
      <x:c r="A545" t="n">
        <x:v>544</x:v>
      </x:c>
      <x:c r="B545" s="26" t="n">
        <x:v>46159</x:v>
      </x:c>
      <x:c r="C545" t="str">
        <x:v>CPO_Always_On</x:v>
      </x:c>
      <x:c r="D545" t="str">
        <x:v>BAI Directo/App</x:v>
      </x:c>
      <x:c r="E545" t="str">
        <x:v>Assalariado</x:v>
      </x:c>
      <x:c r="F545" t="str">
        <x:v>Benguela</x:v>
      </x:c>
      <x:c r="G545" t="str">
        <x:v>Android</x:v>
      </x:c>
      <x:c r="H545" t="n">
        <x:v>3904</x:v>
      </x:c>
      <x:c r="I545" t="n">
        <x:v>453</x:v>
      </x:c>
      <x:c r="J545" t="n">
        <x:v>64</x:v>
      </x:c>
      <x:c r="K545" t="n">
        <x:v>48</x:v>
      </x:c>
      <x:c r="L545" t="n">
        <x:v>27</x:v>
      </x:c>
      <x:c r="M545" s="28" t="n">
        <x:v>58884435.2</x:v>
      </x:c>
      <x:c r="N545" s="28" t="n">
        <x:v>61380.28</x:v>
      </x:c>
      <x:c r="O545" s="30" t="n">
        <x:f>IFERROR(I545/H545,0)</x:f>
        <x:v>0.11603483606557377</x:v>
      </x:c>
      <x:c r="P545" s="30" t="n">
        <x:f>IFERROR(J545/I545,0)</x:f>
        <x:v>0.141280353200883</x:v>
      </x:c>
      <x:c r="Q545" s="30" t="n">
        <x:f>IFERROR(K545/J545,0)</x:f>
        <x:v>0.75</x:v>
      </x:c>
      <x:c r="R545" s="30" t="n">
        <x:f>IFERROR(L545/K545,0)</x:f>
        <x:v>0.5625</x:v>
      </x:c>
      <x:c r="S545" s="28" t="n">
        <x:f>IFERROR(N545/J545,0)</x:f>
        <x:v>959.066875</x:v>
      </x:c>
      <x:c r="T545" s="28" t="n">
        <x:f>IFERROR(N545/K545,0)</x:f>
        <x:v>1278.7558333333334</x:v>
      </x:c>
      <x:c r="U545" s="28" t="n">
        <x:f>IFERROR(N545/L545,0)</x:f>
        <x:v>2273.343703703704</x:v>
      </x:c>
    </x:row>
    <x:row r="546">
      <x:c r="A546" t="n">
        <x:v>545</x:v>
      </x:c>
      <x:c r="B546" s="26" t="n">
        <x:v>46159</x:v>
      </x:c>
      <x:c r="C546" t="str">
        <x:v>CPO_Acesso_Rapido</x:v>
      </x:c>
      <x:c r="D546" t="str">
        <x:v>BAI Directo/App</x:v>
      </x:c>
      <x:c r="E546" t="str">
        <x:v>Premium</x:v>
      </x:c>
      <x:c r="F546" t="str">
        <x:v>Huíla</x:v>
      </x:c>
      <x:c r="G546" t="str">
        <x:v>Android</x:v>
      </x:c>
      <x:c r="H546" t="n">
        <x:v>8361</x:v>
      </x:c>
      <x:c r="I546" t="n">
        <x:v>1192</x:v>
      </x:c>
      <x:c r="J546" t="n">
        <x:v>274</x:v>
      </x:c>
      <x:c r="K546" t="n">
        <x:v>170</x:v>
      </x:c>
      <x:c r="L546" t="n">
        <x:v>119</x:v>
      </x:c>
      <x:c r="M546" s="28" t="n">
        <x:v>598212870.19</x:v>
      </x:c>
      <x:c r="N546" s="28" t="n">
        <x:v>45065.88</x:v>
      </x:c>
      <x:c r="O546" s="30" t="n">
        <x:f>IFERROR(I546/H546,0)</x:f>
        <x:v>0.1425666786269585</x:v>
      </x:c>
      <x:c r="P546" s="30" t="n">
        <x:f>IFERROR(J546/I546,0)</x:f>
        <x:v>0.22986577181208054</x:v>
      </x:c>
      <x:c r="Q546" s="30" t="n">
        <x:f>IFERROR(K546/J546,0)</x:f>
        <x:v>0.6204379562043796</x:v>
      </x:c>
      <x:c r="R546" s="30" t="n">
        <x:f>IFERROR(L546/K546,0)</x:f>
        <x:v>0.7</x:v>
      </x:c>
      <x:c r="S546" s="28" t="n">
        <x:f>IFERROR(N546/J546,0)</x:f>
        <x:v>164.47401459854012</x:v>
      </x:c>
      <x:c r="T546" s="28" t="n">
        <x:f>IFERROR(N546/K546,0)</x:f>
        <x:v>265.0934117647059</x:v>
      </x:c>
      <x:c r="U546" s="28" t="n">
        <x:f>IFERROR(N546/L546,0)</x:f>
        <x:v>378.7048739495798</x:v>
      </x:c>
    </x:row>
    <x:row r="547">
      <x:c r="A547" t="n">
        <x:v>546</x:v>
      </x:c>
      <x:c r="B547" s="26" t="n">
        <x:v>46159</x:v>
      </x:c>
      <x:c r="C547" t="str">
        <x:v>CPO_Fim_do_Mes</x:v>
      </x:c>
      <x:c r="D547" t="str">
        <x:v>Google Ads</x:v>
      </x:c>
      <x:c r="E547" t="str">
        <x:v>Pequeno Negócio</x:v>
      </x:c>
      <x:c r="F547" t="str">
        <x:v>Luanda</x:v>
      </x:c>
      <x:c r="G547" t="str">
        <x:v>Desktop</x:v>
      </x:c>
      <x:c r="H547" t="n">
        <x:v>8196</x:v>
      </x:c>
      <x:c r="I547" t="n">
        <x:v>249</x:v>
      </x:c>
      <x:c r="J547" t="n">
        <x:v>33</x:v>
      </x:c>
      <x:c r="K547" t="n">
        <x:v>11</x:v>
      </x:c>
      <x:c r="L547" t="n">
        <x:v>6</x:v>
      </x:c>
      <x:c r="M547" s="28" t="n">
        <x:v>17816378.62</x:v>
      </x:c>
      <x:c r="N547" s="28" t="n">
        <x:v>32126.17</x:v>
      </x:c>
      <x:c r="O547" s="30" t="n">
        <x:f>IFERROR(I547/H547,0)</x:f>
        <x:v>0.030380673499267936</x:v>
      </x:c>
      <x:c r="P547" s="30" t="n">
        <x:f>IFERROR(J547/I547,0)</x:f>
        <x:v>0.13253012048192772</x:v>
      </x:c>
      <x:c r="Q547" s="30" t="n">
        <x:f>IFERROR(K547/J547,0)</x:f>
        <x:v>0.3333333333333333</x:v>
      </x:c>
      <x:c r="R547" s="30" t="n">
        <x:f>IFERROR(L547/K547,0)</x:f>
        <x:v>0.5454545454545454</x:v>
      </x:c>
      <x:c r="S547" s="28" t="n">
        <x:f>IFERROR(N547/J547,0)</x:f>
        <x:v>973.520303030303</x:v>
      </x:c>
      <x:c r="T547" s="28" t="n">
        <x:f>IFERROR(N547/K547,0)</x:f>
        <x:v>2920.560909090909</x:v>
      </x:c>
      <x:c r="U547" s="28" t="n">
        <x:f>IFERROR(N547/L547,0)</x:f>
        <x:v>5354.361666666667</x:v>
      </x:c>
    </x:row>
    <x:row r="548">
      <x:c r="A548" t="n">
        <x:v>547</x:v>
      </x:c>
      <x:c r="B548" s="26" t="n">
        <x:v>46159</x:v>
      </x:c>
      <x:c r="C548" t="str">
        <x:v>CPO_Always_On</x:v>
      </x:c>
      <x:c r="D548" t="str">
        <x:v>TikTok Ads</x:v>
      </x:c>
      <x:c r="E548" t="str">
        <x:v>Pequeno Negócio</x:v>
      </x:c>
      <x:c r="F548" t="str">
        <x:v>Luanda</x:v>
      </x:c>
      <x:c r="G548" t="str">
        <x:v>iOS</x:v>
      </x:c>
      <x:c r="H548" t="n">
        <x:v>11531</x:v>
      </x:c>
      <x:c r="I548" t="n">
        <x:v>209</x:v>
      </x:c>
      <x:c r="J548" t="n">
        <x:v>19</x:v>
      </x:c>
      <x:c r="K548" t="n">
        <x:v>9</x:v>
      </x:c>
      <x:c r="L548" t="n">
        <x:v>6</x:v>
      </x:c>
      <x:c r="M548" s="28" t="n">
        <x:v>17426919.49</x:v>
      </x:c>
      <x:c r="N548" s="28" t="n">
        <x:v>21713.21</x:v>
      </x:c>
      <x:c r="O548" s="30" t="n">
        <x:f>IFERROR(I548/H548,0)</x:f>
        <x:v>0.01812505420171711</x:v>
      </x:c>
      <x:c r="P548" s="30" t="n">
        <x:f>IFERROR(J548/I548,0)</x:f>
        <x:v>0.09090909090909091</x:v>
      </x:c>
      <x:c r="Q548" s="30" t="n">
        <x:f>IFERROR(K548/J548,0)</x:f>
        <x:v>0.47368421052631576</x:v>
      </x:c>
      <x:c r="R548" s="30" t="n">
        <x:f>IFERROR(L548/K548,0)</x:f>
        <x:v>0.6666666666666666</x:v>
      </x:c>
      <x:c r="S548" s="28" t="n">
        <x:f>IFERROR(N548/J548,0)</x:f>
        <x:v>1142.8005263157895</x:v>
      </x:c>
      <x:c r="T548" s="28" t="n">
        <x:f>IFERROR(N548/K548,0)</x:f>
        <x:v>2412.5788888888887</x:v>
      </x:c>
      <x:c r="U548" s="28" t="n">
        <x:f>IFERROR(N548/L548,0)</x:f>
        <x:v>3618.8683333333333</x:v>
      </x:c>
    </x:row>
    <x:row r="549">
      <x:c r="A549" t="n">
        <x:v>548</x:v>
      </x:c>
      <x:c r="B549" s="26" t="n">
        <x:v>46160</x:v>
      </x:c>
      <x:c r="C549" t="str">
        <x:v>CPO_Acesso_Rapido</x:v>
      </x:c>
      <x:c r="D549" t="str">
        <x:v>Meta Ads</x:v>
      </x:c>
      <x:c r="E549" t="str">
        <x:v>Pequeno Negócio</x:v>
      </x:c>
      <x:c r="F549" t="str">
        <x:v>Luanda</x:v>
      </x:c>
      <x:c r="G549" t="str">
        <x:v>Android</x:v>
      </x:c>
      <x:c r="H549" t="n">
        <x:v>10367</x:v>
      </x:c>
      <x:c r="I549" t="n">
        <x:v>247</x:v>
      </x:c>
      <x:c r="J549" t="n">
        <x:v>23</x:v>
      </x:c>
      <x:c r="K549" t="n">
        <x:v>9</x:v>
      </x:c>
      <x:c r="L549" t="n">
        <x:v>3</x:v>
      </x:c>
      <x:c r="M549" s="28" t="n">
        <x:v>8661902.99</x:v>
      </x:c>
      <x:c r="N549" s="28" t="n">
        <x:v>35201.23</x:v>
      </x:c>
      <x:c r="O549" s="30" t="n">
        <x:f>IFERROR(I549/H549,0)</x:f>
        <x:v>0.02382560046300762</x:v>
      </x:c>
      <x:c r="P549" s="30" t="n">
        <x:f>IFERROR(J549/I549,0)</x:f>
        <x:v>0.0931174089068826</x:v>
      </x:c>
      <x:c r="Q549" s="30" t="n">
        <x:f>IFERROR(K549/J549,0)</x:f>
        <x:v>0.391304347826087</x:v>
      </x:c>
      <x:c r="R549" s="30" t="n">
        <x:f>IFERROR(L549/K549,0)</x:f>
        <x:v>0.3333333333333333</x:v>
      </x:c>
      <x:c r="S549" s="28" t="n">
        <x:f>IFERROR(N549/J549,0)</x:f>
        <x:v>1530.4882608695655</x:v>
      </x:c>
      <x:c r="T549" s="28" t="n">
        <x:f>IFERROR(N549/K549,0)</x:f>
        <x:v>3911.247777777778</x:v>
      </x:c>
      <x:c r="U549" s="28" t="n">
        <x:f>IFERROR(N549/L549,0)</x:f>
        <x:v>11733.743333333334</x:v>
      </x:c>
    </x:row>
    <x:row r="550">
      <x:c r="A550" t="n">
        <x:v>549</x:v>
      </x:c>
      <x:c r="B550" s="26" t="n">
        <x:v>46160</x:v>
      </x:c>
      <x:c r="C550" t="str">
        <x:v>CPO_Fim_do_Mes</x:v>
      </x:c>
      <x:c r="D550" t="str">
        <x:v>TikTok Ads</x:v>
      </x:c>
      <x:c r="E550" t="str">
        <x:v>Premium</x:v>
      </x:c>
      <x:c r="F550" t="str">
        <x:v>Luanda</x:v>
      </x:c>
      <x:c r="G550" t="str">
        <x:v>Android</x:v>
      </x:c>
      <x:c r="H550" t="n">
        <x:v>15000</x:v>
      </x:c>
      <x:c r="I550" t="n">
        <x:v>203</x:v>
      </x:c>
      <x:c r="J550" t="n">
        <x:v>15</x:v>
      </x:c>
      <x:c r="K550" t="n">
        <x:v>11</x:v>
      </x:c>
      <x:c r="L550" t="n">
        <x:v>10</x:v>
      </x:c>
      <x:c r="M550" s="28" t="n">
        <x:v>49829778.92</x:v>
      </x:c>
      <x:c r="N550" s="28" t="n">
        <x:v>34946.71</x:v>
      </x:c>
      <x:c r="O550" s="30" t="n">
        <x:f>IFERROR(I550/H550,0)</x:f>
        <x:v>0.013533333333333333</x:v>
      </x:c>
      <x:c r="P550" s="30" t="n">
        <x:f>IFERROR(J550/I550,0)</x:f>
        <x:v>0.07389162561576355</x:v>
      </x:c>
      <x:c r="Q550" s="30" t="n">
        <x:f>IFERROR(K550/J550,0)</x:f>
        <x:v>0.7333333333333333</x:v>
      </x:c>
      <x:c r="R550" s="30" t="n">
        <x:f>IFERROR(L550/K550,0)</x:f>
        <x:v>0.9090909090909091</x:v>
      </x:c>
      <x:c r="S550" s="28" t="n">
        <x:f>IFERROR(N550/J550,0)</x:f>
        <x:v>2329.7806666666665</x:v>
      </x:c>
      <x:c r="T550" s="28" t="n">
        <x:f>IFERROR(N550/K550,0)</x:f>
        <x:v>3176.973636363636</x:v>
      </x:c>
      <x:c r="U550" s="28" t="n">
        <x:f>IFERROR(N550/L550,0)</x:f>
        <x:v>3494.671</x:v>
      </x:c>
    </x:row>
    <x:row r="551">
      <x:c r="A551" t="n">
        <x:v>550</x:v>
      </x:c>
      <x:c r="B551" s="26" t="n">
        <x:v>46160</x:v>
      </x:c>
      <x:c r="C551" t="str">
        <x:v>CPO_Salario</x:v>
      </x:c>
      <x:c r="D551" t="str">
        <x:v>Google Ads</x:v>
      </x:c>
      <x:c r="E551" t="str">
        <x:v>Funcionário Público</x:v>
      </x:c>
      <x:c r="F551" t="str">
        <x:v>Huíla</x:v>
      </x:c>
      <x:c r="G551" t="str">
        <x:v>Android</x:v>
      </x:c>
      <x:c r="H551" t="n">
        <x:v>9801</x:v>
      </x:c>
      <x:c r="I551" t="n">
        <x:v>255</x:v>
      </x:c>
      <x:c r="J551" t="n">
        <x:v>42</x:v>
      </x:c>
      <x:c r="K551" t="n">
        <x:v>32</x:v>
      </x:c>
      <x:c r="L551" t="n">
        <x:v>28</x:v>
      </x:c>
      <x:c r="M551" s="28" t="n">
        <x:v>46053863.66</x:v>
      </x:c>
      <x:c r="N551" s="28" t="n">
        <x:v>21531.36</x:v>
      </x:c>
      <x:c r="O551" s="30" t="n">
        <x:f>IFERROR(I551/H551,0)</x:f>
        <x:v>0.026017753290480564</x:v>
      </x:c>
      <x:c r="P551" s="30" t="n">
        <x:f>IFERROR(J551/I551,0)</x:f>
        <x:v>0.16470588235294117</x:v>
      </x:c>
      <x:c r="Q551" s="30" t="n">
        <x:f>IFERROR(K551/J551,0)</x:f>
        <x:v>0.7619047619047619</x:v>
      </x:c>
      <x:c r="R551" s="30" t="n">
        <x:f>IFERROR(L551/K551,0)</x:f>
        <x:v>0.875</x:v>
      </x:c>
      <x:c r="S551" s="28" t="n">
        <x:f>IFERROR(N551/J551,0)</x:f>
        <x:v>512.6514285714286</x:v>
      </x:c>
      <x:c r="T551" s="28" t="n">
        <x:f>IFERROR(N551/K551,0)</x:f>
        <x:v>672.855</x:v>
      </x:c>
      <x:c r="U551" s="28" t="n">
        <x:f>IFERROR(N551/L551,0)</x:f>
        <x:v>768.9771428571429</x:v>
      </x:c>
    </x:row>
    <x:row r="552">
      <x:c r="A552" t="n">
        <x:v>551</x:v>
      </x:c>
      <x:c r="B552" s="26" t="n">
        <x:v>46161</x:v>
      </x:c>
      <x:c r="C552" t="str">
        <x:v>CPO_Fim_do_Mes</x:v>
      </x:c>
      <x:c r="D552" t="str">
        <x:v>E-mail</x:v>
      </x:c>
      <x:c r="E552" t="str">
        <x:v>Jovem Profissional</x:v>
      </x:c>
      <x:c r="F552" t="str">
        <x:v>Luanda</x:v>
      </x:c>
      <x:c r="G552" t="str">
        <x:v>Desktop</x:v>
      </x:c>
      <x:c r="H552" t="n">
        <x:v>8301</x:v>
      </x:c>
      <x:c r="I552" t="n">
        <x:v>533</x:v>
      </x:c>
      <x:c r="J552" t="n">
        <x:v>53</x:v>
      </x:c>
      <x:c r="K552" t="n">
        <x:v>23</x:v>
      </x:c>
      <x:c r="L552" t="n">
        <x:v>17</x:v>
      </x:c>
      <x:c r="M552" s="28" t="n">
        <x:v>21037086.28</x:v>
      </x:c>
      <x:c r="N552" s="28" t="n">
        <x:v>46590.97</x:v>
      </x:c>
      <x:c r="O552" s="30" t="n">
        <x:f>IFERROR(I552/H552,0)</x:f>
        <x:v>0.0642091314299482</x:v>
      </x:c>
      <x:c r="P552" s="30" t="n">
        <x:f>IFERROR(J552/I552,0)</x:f>
        <x:v>0.09943714821763602</x:v>
      </x:c>
      <x:c r="Q552" s="30" t="n">
        <x:f>IFERROR(K552/J552,0)</x:f>
        <x:v>0.4339622641509434</x:v>
      </x:c>
      <x:c r="R552" s="30" t="n">
        <x:f>IFERROR(L552/K552,0)</x:f>
        <x:v>0.7391304347826086</x:v>
      </x:c>
      <x:c r="S552" s="28" t="n">
        <x:f>IFERROR(N552/J552,0)</x:f>
        <x:v>879.0749056603773</x:v>
      </x:c>
      <x:c r="T552" s="28" t="n">
        <x:f>IFERROR(N552/K552,0)</x:f>
        <x:v>2025.694347826087</x:v>
      </x:c>
      <x:c r="U552" s="28" t="n">
        <x:f>IFERROR(N552/L552,0)</x:f>
        <x:v>2740.645294117647</x:v>
      </x:c>
    </x:row>
    <x:row r="553">
      <x:c r="A553" t="n">
        <x:v>552</x:v>
      </x:c>
      <x:c r="B553" s="26" t="n">
        <x:v>46161</x:v>
      </x:c>
      <x:c r="C553" t="str">
        <x:v>CPO_Fim_do_Mes</x:v>
      </x:c>
      <x:c r="D553" t="str">
        <x:v>BAI Directo/App</x:v>
      </x:c>
      <x:c r="E553" t="str">
        <x:v>Assalariado</x:v>
      </x:c>
      <x:c r="F553" t="str">
        <x:v>Malanje</x:v>
      </x:c>
      <x:c r="G553" t="str">
        <x:v>Android</x:v>
      </x:c>
      <x:c r="H553" t="n">
        <x:v>7239</x:v>
      </x:c>
      <x:c r="I553" t="n">
        <x:v>591</x:v>
      </x:c>
      <x:c r="J553" t="n">
        <x:v>147</x:v>
      </x:c>
      <x:c r="K553" t="n">
        <x:v>124</x:v>
      </x:c>
      <x:c r="L553" t="n">
        <x:v>78</x:v>
      </x:c>
      <x:c r="M553" s="28" t="n">
        <x:v>168163502.43</x:v>
      </x:c>
      <x:c r="N553" s="28" t="n">
        <x:v>94157.24</x:v>
      </x:c>
      <x:c r="O553" s="30" t="n">
        <x:f>IFERROR(I553/H553,0)</x:f>
        <x:v>0.08164111065064235</x:v>
      </x:c>
      <x:c r="P553" s="30" t="n">
        <x:f>IFERROR(J553/I553,0)</x:f>
        <x:v>0.24873096446700507</x:v>
      </x:c>
      <x:c r="Q553" s="30" t="n">
        <x:f>IFERROR(K553/J553,0)</x:f>
        <x:v>0.8435374149659864</x:v>
      </x:c>
      <x:c r="R553" s="30" t="n">
        <x:f>IFERROR(L553/K553,0)</x:f>
        <x:v>0.6290322580645161</x:v>
      </x:c>
      <x:c r="S553" s="28" t="n">
        <x:f>IFERROR(N553/J553,0)</x:f>
        <x:v>640.5254421768708</x:v>
      </x:c>
      <x:c r="T553" s="28" t="n">
        <x:f>IFERROR(N553/K553,0)</x:f>
        <x:v>759.3325806451613</x:v>
      </x:c>
      <x:c r="U553" s="28" t="n">
        <x:f>IFERROR(N553/L553,0)</x:f>
        <x:v>1207.1441025641027</x:v>
      </x:c>
    </x:row>
    <x:row r="554">
      <x:c r="A554" t="n">
        <x:v>553</x:v>
      </x:c>
      <x:c r="B554" s="26" t="n">
        <x:v>46161</x:v>
      </x:c>
      <x:c r="C554" t="str">
        <x:v>CPO_Fim_do_Mes</x:v>
      </x:c>
      <x:c r="D554" t="str">
        <x:v>BAI Directo/App</x:v>
      </x:c>
      <x:c r="E554" t="str">
        <x:v>Jovem Profissional</x:v>
      </x:c>
      <x:c r="F554" t="str">
        <x:v>Luanda</x:v>
      </x:c>
      <x:c r="G554" t="str">
        <x:v>Android</x:v>
      </x:c>
      <x:c r="H554" t="n">
        <x:v>11532</x:v>
      </x:c>
      <x:c r="I554" t="n">
        <x:v>1708</x:v>
      </x:c>
      <x:c r="J554" t="n">
        <x:v>404</x:v>
      </x:c>
      <x:c r="K554" t="n">
        <x:v>246</x:v>
      </x:c>
      <x:c r="L554" t="n">
        <x:v>145</x:v>
      </x:c>
      <x:c r="M554" s="28" t="n">
        <x:v>192686454.17</x:v>
      </x:c>
      <x:c r="N554" s="28" t="n">
        <x:v>48682.61</x:v>
      </x:c>
      <x:c r="O554" s="30" t="n">
        <x:f>IFERROR(I554/H554,0)</x:f>
        <x:v>0.14810960804717307</x:v>
      </x:c>
      <x:c r="P554" s="30" t="n">
        <x:f>IFERROR(J554/I554,0)</x:f>
        <x:v>0.23653395784543327</x:v>
      </x:c>
      <x:c r="Q554" s="30" t="n">
        <x:f>IFERROR(K554/J554,0)</x:f>
        <x:v>0.6089108910891089</x:v>
      </x:c>
      <x:c r="R554" s="30" t="n">
        <x:f>IFERROR(L554/K554,0)</x:f>
        <x:v>0.5894308943089431</x:v>
      </x:c>
      <x:c r="S554" s="28" t="n">
        <x:f>IFERROR(N554/J554,0)</x:f>
        <x:v>120.5015099009901</x:v>
      </x:c>
      <x:c r="T554" s="28" t="n">
        <x:f>IFERROR(N554/K554,0)</x:f>
        <x:v>197.8967886178862</x:v>
      </x:c>
      <x:c r="U554" s="28" t="n">
        <x:f>IFERROR(N554/L554,0)</x:f>
        <x:v>335.7421379310345</x:v>
      </x:c>
    </x:row>
    <x:row r="555">
      <x:c r="A555" t="n">
        <x:v>554</x:v>
      </x:c>
      <x:c r="B555" s="26" t="n">
        <x:v>46161</x:v>
      </x:c>
      <x:c r="C555" t="str">
        <x:v>CPO_Premium</x:v>
      </x:c>
      <x:c r="D555" t="str">
        <x:v>E-mail</x:v>
      </x:c>
      <x:c r="E555" t="str">
        <x:v>Assalariado</x:v>
      </x:c>
      <x:c r="F555" t="str">
        <x:v>Huambo</x:v>
      </x:c>
      <x:c r="G555" t="str">
        <x:v>Android</x:v>
      </x:c>
      <x:c r="H555" t="n">
        <x:v>3526</x:v>
      </x:c>
      <x:c r="I555" t="n">
        <x:v>201</x:v>
      </x:c>
      <x:c r="J555" t="n">
        <x:v>14</x:v>
      </x:c>
      <x:c r="K555" t="n">
        <x:v>11</x:v>
      </x:c>
      <x:c r="L555" t="n">
        <x:v>8</x:v>
      </x:c>
      <x:c r="M555" s="28" t="n">
        <x:v>16870654.52</x:v>
      </x:c>
      <x:c r="N555" s="28" t="n">
        <x:v>39164.25</x:v>
      </x:c>
      <x:c r="O555" s="30" t="n">
        <x:f>IFERROR(I555/H555,0)</x:f>
        <x:v>0.057005104934770276</x:v>
      </x:c>
      <x:c r="P555" s="30" t="n">
        <x:f>IFERROR(J555/I555,0)</x:f>
        <x:v>0.06965174129353234</x:v>
      </x:c>
      <x:c r="Q555" s="30" t="n">
        <x:f>IFERROR(K555/J555,0)</x:f>
        <x:v>0.7857142857142857</x:v>
      </x:c>
      <x:c r="R555" s="30" t="n">
        <x:f>IFERROR(L555/K555,0)</x:f>
        <x:v>0.7272727272727273</x:v>
      </x:c>
      <x:c r="S555" s="28" t="n">
        <x:f>IFERROR(N555/J555,0)</x:f>
        <x:v>2797.4464285714284</x:v>
      </x:c>
      <x:c r="T555" s="28" t="n">
        <x:f>IFERROR(N555/K555,0)</x:f>
        <x:v>3560.3863636363635</x:v>
      </x:c>
      <x:c r="U555" s="28" t="n">
        <x:f>IFERROR(N555/L555,0)</x:f>
        <x:v>4895.53125</x:v>
      </x:c>
    </x:row>
    <x:row r="556">
      <x:c r="A556" t="n">
        <x:v>555</x:v>
      </x:c>
      <x:c r="B556" s="26" t="n">
        <x:v>46161</x:v>
      </x:c>
      <x:c r="C556" t="str">
        <x:v>CPO_Digital_360</x:v>
      </x:c>
      <x:c r="D556" t="str">
        <x:v>Google Ads</x:v>
      </x:c>
      <x:c r="E556" t="str">
        <x:v>Funcionário Público</x:v>
      </x:c>
      <x:c r="F556" t="str">
        <x:v>Luanda</x:v>
      </x:c>
      <x:c r="G556" t="str">
        <x:v>Android</x:v>
      </x:c>
      <x:c r="H556" t="n">
        <x:v>5466</x:v>
      </x:c>
      <x:c r="I556" t="n">
        <x:v>205</x:v>
      </x:c>
      <x:c r="J556" t="n">
        <x:v>32</x:v>
      </x:c>
      <x:c r="K556" t="n">
        <x:v>21</x:v>
      </x:c>
      <x:c r="L556" t="n">
        <x:v>12</x:v>
      </x:c>
      <x:c r="M556" s="28" t="n">
        <x:v>25544800.43</x:v>
      </x:c>
      <x:c r="N556" s="28" t="n">
        <x:v>10812.96</x:v>
      </x:c>
      <x:c r="O556" s="30" t="n">
        <x:f>IFERROR(I556/H556,0)</x:f>
        <x:v>0.03750457372850348</x:v>
      </x:c>
      <x:c r="P556" s="30" t="n">
        <x:f>IFERROR(J556/I556,0)</x:f>
        <x:v>0.15609756097560976</x:v>
      </x:c>
      <x:c r="Q556" s="30" t="n">
        <x:f>IFERROR(K556/J556,0)</x:f>
        <x:v>0.65625</x:v>
      </x:c>
      <x:c r="R556" s="30" t="n">
        <x:f>IFERROR(L556/K556,0)</x:f>
        <x:v>0.5714285714285714</x:v>
      </x:c>
      <x:c r="S556" s="28" t="n">
        <x:f>IFERROR(N556/J556,0)</x:f>
        <x:v>337.905</x:v>
      </x:c>
      <x:c r="T556" s="28" t="n">
        <x:f>IFERROR(N556/K556,0)</x:f>
        <x:v>514.9028571428571</x:v>
      </x:c>
      <x:c r="U556" s="28" t="n">
        <x:f>IFERROR(N556/L556,0)</x:f>
        <x:v>901.0799999999999</x:v>
      </x:c>
    </x:row>
    <x:row r="557">
      <x:c r="A557" t="n">
        <x:v>556</x:v>
      </x:c>
      <x:c r="B557" s="26" t="n">
        <x:v>46162</x:v>
      </x:c>
      <x:c r="C557" t="str">
        <x:v>CPO_Fim_do_Mes</x:v>
      </x:c>
      <x:c r="D557" t="str">
        <x:v>SMS</x:v>
      </x:c>
      <x:c r="E557" t="str">
        <x:v>Assalariado</x:v>
      </x:c>
      <x:c r="F557" t="str">
        <x:v>Benguela</x:v>
      </x:c>
      <x:c r="G557" t="str">
        <x:v>Desktop</x:v>
      </x:c>
      <x:c r="H557" t="n">
        <x:v>8812</x:v>
      </x:c>
      <x:c r="I557" t="n">
        <x:v>798</x:v>
      </x:c>
      <x:c r="J557" t="n">
        <x:v>103</x:v>
      </x:c>
      <x:c r="K557" t="n">
        <x:v>80</x:v>
      </x:c>
      <x:c r="L557" t="n">
        <x:v>71</x:v>
      </x:c>
      <x:c r="M557" s="28" t="n">
        <x:v>153297084.25</x:v>
      </x:c>
      <x:c r="N557" s="28" t="n">
        <x:v>146351.81</x:v>
      </x:c>
      <x:c r="O557" s="30" t="n">
        <x:f>IFERROR(I557/H557,0)</x:f>
        <x:v>0.0905583295506128</x:v>
      </x:c>
      <x:c r="P557" s="30" t="n">
        <x:f>IFERROR(J557/I557,0)</x:f>
        <x:v>0.12907268170426064</x:v>
      </x:c>
      <x:c r="Q557" s="30" t="n">
        <x:f>IFERROR(K557/J557,0)</x:f>
        <x:v>0.7766990291262136</x:v>
      </x:c>
      <x:c r="R557" s="30" t="n">
        <x:f>IFERROR(L557/K557,0)</x:f>
        <x:v>0.8875</x:v>
      </x:c>
      <x:c r="S557" s="28" t="n">
        <x:f>IFERROR(N557/J557,0)</x:f>
        <x:v>1420.891359223301</x:v>
      </x:c>
      <x:c r="T557" s="28" t="n">
        <x:f>IFERROR(N557/K557,0)</x:f>
        <x:v>1829.397625</x:v>
      </x:c>
      <x:c r="U557" s="28" t="n">
        <x:f>IFERROR(N557/L557,0)</x:f>
        <x:v>2061.293098591549</x:v>
      </x:c>
    </x:row>
    <x:row r="558">
      <x:c r="A558" t="n">
        <x:v>557</x:v>
      </x:c>
      <x:c r="B558" s="26" t="n">
        <x:v>46162</x:v>
      </x:c>
      <x:c r="C558" t="str">
        <x:v>CPO_Acesso_Rapido</x:v>
      </x:c>
      <x:c r="D558" t="str">
        <x:v>Meta Ads</x:v>
      </x:c>
      <x:c r="E558" t="str">
        <x:v>Jovem Profissional</x:v>
      </x:c>
      <x:c r="F558" t="str">
        <x:v>Uíge</x:v>
      </x:c>
      <x:c r="G558" t="str">
        <x:v>Android</x:v>
      </x:c>
      <x:c r="H558" t="n">
        <x:v>13334</x:v>
      </x:c>
      <x:c r="I558" t="n">
        <x:v>326</x:v>
      </x:c>
      <x:c r="J558" t="n">
        <x:v>38</x:v>
      </x:c>
      <x:c r="K558" t="n">
        <x:v>20</x:v>
      </x:c>
      <x:c r="L558" t="n">
        <x:v>12</x:v>
      </x:c>
      <x:c r="M558" s="28" t="n">
        <x:v>15298780.02</x:v>
      </x:c>
      <x:c r="N558" s="28" t="n">
        <x:v>24897.13</x:v>
      </x:c>
      <x:c r="O558" s="30" t="n">
        <x:f>IFERROR(I558/H558,0)</x:f>
        <x:v>0.024448777561121945</x:v>
      </x:c>
      <x:c r="P558" s="30" t="n">
        <x:f>IFERROR(J558/I558,0)</x:f>
        <x:v>0.1165644171779141</x:v>
      </x:c>
      <x:c r="Q558" s="30" t="n">
        <x:f>IFERROR(K558/J558,0)</x:f>
        <x:v>0.5263157894736842</x:v>
      </x:c>
      <x:c r="R558" s="30" t="n">
        <x:f>IFERROR(L558/K558,0)</x:f>
        <x:v>0.6</x:v>
      </x:c>
      <x:c r="S558" s="28" t="n">
        <x:f>IFERROR(N558/J558,0)</x:f>
        <x:v>655.1876315789474</x:v>
      </x:c>
      <x:c r="T558" s="28" t="n">
        <x:f>IFERROR(N558/K558,0)</x:f>
        <x:v>1244.8565</x:v>
      </x:c>
      <x:c r="U558" s="28" t="n">
        <x:f>IFERROR(N558/L558,0)</x:f>
        <x:v>2074.7608333333333</x:v>
      </x:c>
    </x:row>
    <x:row r="559">
      <x:c r="A559" t="n">
        <x:v>558</x:v>
      </x:c>
      <x:c r="B559" s="26" t="n">
        <x:v>46162</x:v>
      </x:c>
      <x:c r="C559" t="str">
        <x:v>CPO_Always_On</x:v>
      </x:c>
      <x:c r="D559" t="str">
        <x:v>Meta Ads</x:v>
      </x:c>
      <x:c r="E559" t="str">
        <x:v>Pequeno Negócio</x:v>
      </x:c>
      <x:c r="F559" t="str">
        <x:v>Luanda</x:v>
      </x:c>
      <x:c r="G559" t="str">
        <x:v>Android</x:v>
      </x:c>
      <x:c r="H559" t="n">
        <x:v>10274</x:v>
      </x:c>
      <x:c r="I559" t="n">
        <x:v>192</x:v>
      </x:c>
      <x:c r="J559" t="n">
        <x:v>20</x:v>
      </x:c>
      <x:c r="K559" t="n">
        <x:v>8</x:v>
      </x:c>
      <x:c r="L559" t="n">
        <x:v>5</x:v>
      </x:c>
      <x:c r="M559" s="28" t="n">
        <x:v>15509605.65</x:v>
      </x:c>
      <x:c r="N559" s="28" t="n">
        <x:v>18969.4</x:v>
      </x:c>
      <x:c r="O559" s="30" t="n">
        <x:f>IFERROR(I559/H559,0)</x:f>
        <x:v>0.018687950165466226</x:v>
      </x:c>
      <x:c r="P559" s="30" t="n">
        <x:f>IFERROR(J559/I559,0)</x:f>
        <x:v>0.10416666666666667</x:v>
      </x:c>
      <x:c r="Q559" s="30" t="n">
        <x:f>IFERROR(K559/J559,0)</x:f>
        <x:v>0.4</x:v>
      </x:c>
      <x:c r="R559" s="30" t="n">
        <x:f>IFERROR(L559/K559,0)</x:f>
        <x:v>0.625</x:v>
      </x:c>
      <x:c r="S559" s="28" t="n">
        <x:f>IFERROR(N559/J559,0)</x:f>
        <x:v>948.47</x:v>
      </x:c>
      <x:c r="T559" s="28" t="n">
        <x:f>IFERROR(N559/K559,0)</x:f>
        <x:v>2371.175</x:v>
      </x:c>
      <x:c r="U559" s="28" t="n">
        <x:f>IFERROR(N559/L559,0)</x:f>
        <x:v>3793.88</x:v>
      </x:c>
    </x:row>
    <x:row r="560">
      <x:c r="A560" t="n">
        <x:v>559</x:v>
      </x:c>
      <x:c r="B560" s="26" t="n">
        <x:v>46162</x:v>
      </x:c>
      <x:c r="C560" t="str">
        <x:v>CPO_Fim_do_Mes</x:v>
      </x:c>
      <x:c r="D560" t="str">
        <x:v>SMS</x:v>
      </x:c>
      <x:c r="E560" t="str">
        <x:v>Pequeno Negócio</x:v>
      </x:c>
      <x:c r="F560" t="str">
        <x:v>Luanda</x:v>
      </x:c>
      <x:c r="G560" t="str">
        <x:v>Desktop</x:v>
      </x:c>
      <x:c r="H560" t="n">
        <x:v>11537</x:v>
      </x:c>
      <x:c r="I560" t="n">
        <x:v>1237</x:v>
      </x:c>
      <x:c r="J560" t="n">
        <x:v>93</x:v>
      </x:c>
      <x:c r="K560" t="n">
        <x:v>50</x:v>
      </x:c>
      <x:c r="L560" t="n">
        <x:v>26</x:v>
      </x:c>
      <x:c r="M560" s="28" t="n">
        <x:v>73275488.72</x:v>
      </x:c>
      <x:c r="N560" s="28" t="n">
        <x:v>126225.02</x:v>
      </x:c>
      <x:c r="O560" s="30" t="n">
        <x:f>IFERROR(I560/H560,0)</x:f>
        <x:v>0.10722024789806708</x:v>
      </x:c>
      <x:c r="P560" s="30" t="n">
        <x:f>IFERROR(J560/I560,0)</x:f>
        <x:v>0.07518189167340339</x:v>
      </x:c>
      <x:c r="Q560" s="30" t="n">
        <x:f>IFERROR(K560/J560,0)</x:f>
        <x:v>0.5376344086021505</x:v>
      </x:c>
      <x:c r="R560" s="30" t="n">
        <x:f>IFERROR(L560/K560,0)</x:f>
        <x:v>0.52</x:v>
      </x:c>
      <x:c r="S560" s="28" t="n">
        <x:f>IFERROR(N560/J560,0)</x:f>
        <x:v>1357.2582795698925</x:v>
      </x:c>
      <x:c r="T560" s="28" t="n">
        <x:f>IFERROR(N560/K560,0)</x:f>
        <x:v>2524.5004</x:v>
      </x:c>
      <x:c r="U560" s="28" t="n">
        <x:f>IFERROR(N560/L560,0)</x:f>
        <x:v>4854.808461538461</x:v>
      </x:c>
    </x:row>
    <x:row r="561">
      <x:c r="A561" t="n">
        <x:v>560</x:v>
      </x:c>
      <x:c r="B561" s="26" t="n">
        <x:v>46163</x:v>
      </x:c>
      <x:c r="C561" t="str">
        <x:v>CPO_Salario</x:v>
      </x:c>
      <x:c r="D561" t="str">
        <x:v>TikTok Ads</x:v>
      </x:c>
      <x:c r="E561" t="str">
        <x:v>Premium</x:v>
      </x:c>
      <x:c r="F561" t="str">
        <x:v>Luanda</x:v>
      </x:c>
      <x:c r="G561" t="str">
        <x:v>Android</x:v>
      </x:c>
      <x:c r="H561" t="n">
        <x:v>22066</x:v>
      </x:c>
      <x:c r="I561" t="n">
        <x:v>350</x:v>
      </x:c>
      <x:c r="J561" t="n">
        <x:v>23</x:v>
      </x:c>
      <x:c r="K561" t="n">
        <x:v>18</x:v>
      </x:c>
      <x:c r="L561" t="n">
        <x:v>15</x:v>
      </x:c>
      <x:c r="M561" s="28" t="n">
        <x:v>79303594.64</x:v>
      </x:c>
      <x:c r="N561" s="28" t="n">
        <x:v>22402.4</x:v>
      </x:c>
      <x:c r="O561" s="30" t="n">
        <x:f>IFERROR(I561/H561,0)</x:f>
        <x:v>0.015861506389921145</x:v>
      </x:c>
      <x:c r="P561" s="30" t="n">
        <x:f>IFERROR(J561/I561,0)</x:f>
        <x:v>0.06571428571428571</x:v>
      </x:c>
      <x:c r="Q561" s="30" t="n">
        <x:f>IFERROR(K561/J561,0)</x:f>
        <x:v>0.782608695652174</x:v>
      </x:c>
      <x:c r="R561" s="30" t="n">
        <x:f>IFERROR(L561/K561,0)</x:f>
        <x:v>0.8333333333333334</x:v>
      </x:c>
      <x:c r="S561" s="28" t="n">
        <x:f>IFERROR(N561/J561,0)</x:f>
        <x:v>974.0173913043479</x:v>
      </x:c>
      <x:c r="T561" s="28" t="n">
        <x:f>IFERROR(N561/K561,0)</x:f>
        <x:v>1244.5777777777778</x:v>
      </x:c>
      <x:c r="U561" s="28" t="n">
        <x:f>IFERROR(N561/L561,0)</x:f>
        <x:v>1493.4933333333333</x:v>
      </x:c>
    </x:row>
    <x:row r="562">
      <x:c r="A562" t="n">
        <x:v>561</x:v>
      </x:c>
      <x:c r="B562" s="26" t="n">
        <x:v>46163</x:v>
      </x:c>
      <x:c r="C562" t="str">
        <x:v>CPO_Acesso_Rapido</x:v>
      </x:c>
      <x:c r="D562" t="str">
        <x:v>TikTok Ads</x:v>
      </x:c>
      <x:c r="E562" t="str">
        <x:v>Assalariado</x:v>
      </x:c>
      <x:c r="F562" t="str">
        <x:v>Luanda</x:v>
      </x:c>
      <x:c r="G562" t="str">
        <x:v>Android</x:v>
      </x:c>
      <x:c r="H562" t="n">
        <x:v>14770</x:v>
      </x:c>
      <x:c r="I562" t="n">
        <x:v>193</x:v>
      </x:c>
      <x:c r="J562" t="n">
        <x:v>19</x:v>
      </x:c>
      <x:c r="K562" t="n">
        <x:v>12</x:v>
      </x:c>
      <x:c r="L562" t="n">
        <x:v>9</x:v>
      </x:c>
      <x:c r="M562" s="28" t="n">
        <x:v>16562565.23</x:v>
      </x:c>
      <x:c r="N562" s="28" t="n">
        <x:v>19135.15</x:v>
      </x:c>
      <x:c r="O562" s="30" t="n">
        <x:f>IFERROR(I562/H562,0)</x:f>
        <x:v>0.013067027758970886</x:v>
      </x:c>
      <x:c r="P562" s="30" t="n">
        <x:f>IFERROR(J562/I562,0)</x:f>
        <x:v>0.09844559585492228</x:v>
      </x:c>
      <x:c r="Q562" s="30" t="n">
        <x:f>IFERROR(K562/J562,0)</x:f>
        <x:v>0.631578947368421</x:v>
      </x:c>
      <x:c r="R562" s="30" t="n">
        <x:f>IFERROR(L562/K562,0)</x:f>
        <x:v>0.75</x:v>
      </x:c>
      <x:c r="S562" s="28" t="n">
        <x:f>IFERROR(N562/J562,0)</x:f>
        <x:v>1007.1131578947369</x:v>
      </x:c>
      <x:c r="T562" s="28" t="n">
        <x:f>IFERROR(N562/K562,0)</x:f>
        <x:v>1594.5958333333335</x:v>
      </x:c>
      <x:c r="U562" s="28" t="n">
        <x:f>IFERROR(N562/L562,0)</x:f>
        <x:v>2126.1277777777777</x:v>
      </x:c>
    </x:row>
    <x:row r="563">
      <x:c r="A563" t="n">
        <x:v>562</x:v>
      </x:c>
      <x:c r="B563" s="26" t="n">
        <x:v>46163</x:v>
      </x:c>
      <x:c r="C563" t="str">
        <x:v>CPO_Fim_do_Mes</x:v>
      </x:c>
      <x:c r="D563" t="str">
        <x:v>Google Ads</x:v>
      </x:c>
      <x:c r="E563" t="str">
        <x:v>Premium</x:v>
      </x:c>
      <x:c r="F563" t="str">
        <x:v>Luanda</x:v>
      </x:c>
      <x:c r="G563" t="str">
        <x:v>Android</x:v>
      </x:c>
      <x:c r="H563" t="n">
        <x:v>13195</x:v>
      </x:c>
      <x:c r="I563" t="n">
        <x:v>368</x:v>
      </x:c>
      <x:c r="J563" t="n">
        <x:v>72</x:v>
      </x:c>
      <x:c r="K563" t="n">
        <x:v>57</x:v>
      </x:c>
      <x:c r="L563" t="n">
        <x:v>45</x:v>
      </x:c>
      <x:c r="M563" s="28" t="n">
        <x:v>228465467.74</x:v>
      </x:c>
      <x:c r="N563" s="28" t="n">
        <x:v>17922.46</x:v>
      </x:c>
      <x:c r="O563" s="30" t="n">
        <x:f>IFERROR(I563/H563,0)</x:f>
        <x:v>0.02788935202728306</x:v>
      </x:c>
      <x:c r="P563" s="30" t="n">
        <x:f>IFERROR(J563/I563,0)</x:f>
        <x:v>0.1956521739130435</x:v>
      </x:c>
      <x:c r="Q563" s="30" t="n">
        <x:f>IFERROR(K563/J563,0)</x:f>
        <x:v>0.7916666666666666</x:v>
      </x:c>
      <x:c r="R563" s="30" t="n">
        <x:f>IFERROR(L563/K563,0)</x:f>
        <x:v>0.7894736842105263</x:v>
      </x:c>
      <x:c r="S563" s="28" t="n">
        <x:f>IFERROR(N563/J563,0)</x:f>
        <x:v>248.92305555555555</x:v>
      </x:c>
      <x:c r="T563" s="28" t="n">
        <x:f>IFERROR(N563/K563,0)</x:f>
        <x:v>314.4291228070175</x:v>
      </x:c>
      <x:c r="U563" s="28" t="n">
        <x:f>IFERROR(N563/L563,0)</x:f>
        <x:v>398.2768888888889</x:v>
      </x:c>
    </x:row>
    <x:row r="564">
      <x:c r="A564" t="n">
        <x:v>563</x:v>
      </x:c>
      <x:c r="B564" s="26" t="n">
        <x:v>46163</x:v>
      </x:c>
      <x:c r="C564" t="str">
        <x:v>CPO_Salario</x:v>
      </x:c>
      <x:c r="D564" t="str">
        <x:v>TikTok Ads</x:v>
      </x:c>
      <x:c r="E564" t="str">
        <x:v>Funcionário Público</x:v>
      </x:c>
      <x:c r="F564" t="str">
        <x:v>Benguela</x:v>
      </x:c>
      <x:c r="G564" t="str">
        <x:v>Android</x:v>
      </x:c>
      <x:c r="H564" t="n">
        <x:v>25116</x:v>
      </x:c>
      <x:c r="I564" t="n">
        <x:v>408</x:v>
      </x:c>
      <x:c r="J564" t="n">
        <x:v>30</x:v>
      </x:c>
      <x:c r="K564" t="n">
        <x:v>18</x:v>
      </x:c>
      <x:c r="L564" t="n">
        <x:v>13</x:v>
      </x:c>
      <x:c r="M564" s="28" t="n">
        <x:v>28086727.5</x:v>
      </x:c>
      <x:c r="N564" s="28" t="n">
        <x:v>40607.83</x:v>
      </x:c>
      <x:c r="O564" s="30" t="n">
        <x:f>IFERROR(I564/H564,0)</x:f>
        <x:v>0.016244624940277116</x:v>
      </x:c>
      <x:c r="P564" s="30" t="n">
        <x:f>IFERROR(J564/I564,0)</x:f>
        <x:v>0.07352941176470588</x:v>
      </x:c>
      <x:c r="Q564" s="30" t="n">
        <x:f>IFERROR(K564/J564,0)</x:f>
        <x:v>0.6</x:v>
      </x:c>
      <x:c r="R564" s="30" t="n">
        <x:f>IFERROR(L564/K564,0)</x:f>
        <x:v>0.7222222222222222</x:v>
      </x:c>
      <x:c r="S564" s="28" t="n">
        <x:f>IFERROR(N564/J564,0)</x:f>
        <x:v>1353.5943333333335</x:v>
      </x:c>
      <x:c r="T564" s="28" t="n">
        <x:f>IFERROR(N564/K564,0)</x:f>
        <x:v>2255.9905555555556</x:v>
      </x:c>
      <x:c r="U564" s="28" t="n">
        <x:f>IFERROR(N564/L564,0)</x:f>
        <x:v>3123.679230769231</x:v>
      </x:c>
    </x:row>
    <x:row r="565">
      <x:c r="A565" t="n">
        <x:v>564</x:v>
      </x:c>
      <x:c r="B565" s="26" t="n">
        <x:v>46164</x:v>
      </x:c>
      <x:c r="C565" t="str">
        <x:v>CPO_Salario</x:v>
      </x:c>
      <x:c r="D565" t="str">
        <x:v>BAI Directo/App</x:v>
      </x:c>
      <x:c r="E565" t="str">
        <x:v>Jovem Profissional</x:v>
      </x:c>
      <x:c r="F565" t="str">
        <x:v>Luanda</x:v>
      </x:c>
      <x:c r="G565" t="str">
        <x:v>Android</x:v>
      </x:c>
      <x:c r="H565" t="n">
        <x:v>11090</x:v>
      </x:c>
      <x:c r="I565" t="n">
        <x:v>1364</x:v>
      </x:c>
      <x:c r="J565" t="n">
        <x:v>274</x:v>
      </x:c>
      <x:c r="K565" t="n">
        <x:v>141</x:v>
      </x:c>
      <x:c r="L565" t="n">
        <x:v>55</x:v>
      </x:c>
      <x:c r="M565" s="28" t="n">
        <x:v>68819694.64</x:v>
      </x:c>
      <x:c r="N565" s="28" t="n">
        <x:v>187739.25</x:v>
      </x:c>
      <x:c r="O565" s="30" t="n">
        <x:f>IFERROR(I565/H565,0)</x:f>
        <x:v>0.1229936880072137</x:v>
      </x:c>
      <x:c r="P565" s="30" t="n">
        <x:f>IFERROR(J565/I565,0)</x:f>
        <x:v>0.20087976539589442</x:v>
      </x:c>
      <x:c r="Q565" s="30" t="n">
        <x:f>IFERROR(K565/J565,0)</x:f>
        <x:v>0.5145985401459854</x:v>
      </x:c>
      <x:c r="R565" s="30" t="n">
        <x:f>IFERROR(L565/K565,0)</x:f>
        <x:v>0.3900709219858156</x:v>
      </x:c>
      <x:c r="S565" s="28" t="n">
        <x:f>IFERROR(N565/J565,0)</x:f>
        <x:v>685.1797445255474</x:v>
      </x:c>
      <x:c r="T565" s="28" t="n">
        <x:f>IFERROR(N565/K565,0)</x:f>
        <x:v>1331.4840425531916</x:v>
      </x:c>
      <x:c r="U565" s="28" t="n">
        <x:f>IFERROR(N565/L565,0)</x:f>
        <x:v>3413.440909090909</x:v>
      </x:c>
    </x:row>
    <x:row r="566">
      <x:c r="A566" t="n">
        <x:v>565</x:v>
      </x:c>
      <x:c r="B566" s="26" t="n">
        <x:v>46164</x:v>
      </x:c>
      <x:c r="C566" t="str">
        <x:v>CPO_Acesso_Rapido</x:v>
      </x:c>
      <x:c r="D566" t="str">
        <x:v>BAI Directo/App</x:v>
      </x:c>
      <x:c r="E566" t="str">
        <x:v>Funcionário Público</x:v>
      </x:c>
      <x:c r="F566" t="str">
        <x:v>Luanda</x:v>
      </x:c>
      <x:c r="G566" t="str">
        <x:v>iOS</x:v>
      </x:c>
      <x:c r="H566" t="n">
        <x:v>4296</x:v>
      </x:c>
      <x:c r="I566" t="n">
        <x:v>495</x:v>
      </x:c>
      <x:c r="J566" t="n">
        <x:v>98</x:v>
      </x:c>
      <x:c r="K566" t="n">
        <x:v>68</x:v>
      </x:c>
      <x:c r="L566" t="n">
        <x:v>46</x:v>
      </x:c>
      <x:c r="M566" s="28" t="n">
        <x:v>83029968.91</x:v>
      </x:c>
      <x:c r="N566" s="28" t="n">
        <x:v>62511.61</x:v>
      </x:c>
      <x:c r="O566" s="30" t="n">
        <x:f>IFERROR(I566/H566,0)</x:f>
        <x:v>0.11522346368715083</x:v>
      </x:c>
      <x:c r="P566" s="30" t="n">
        <x:f>IFERROR(J566/I566,0)</x:f>
        <x:v>0.19797979797979798</x:v>
      </x:c>
      <x:c r="Q566" s="30" t="n">
        <x:f>IFERROR(K566/J566,0)</x:f>
        <x:v>0.6938775510204082</x:v>
      </x:c>
      <x:c r="R566" s="30" t="n">
        <x:f>IFERROR(L566/K566,0)</x:f>
        <x:v>0.6764705882352942</x:v>
      </x:c>
      <x:c r="S566" s="28" t="n">
        <x:f>IFERROR(N566/J566,0)</x:f>
        <x:v>637.8735714285714</x:v>
      </x:c>
      <x:c r="T566" s="28" t="n">
        <x:f>IFERROR(N566/K566,0)</x:f>
        <x:v>919.2883823529412</x:v>
      </x:c>
      <x:c r="U566" s="28" t="n">
        <x:f>IFERROR(N566/L566,0)</x:f>
        <x:v>1358.9480434782608</x:v>
      </x:c>
    </x:row>
    <x:row r="567">
      <x:c r="A567" t="n">
        <x:v>566</x:v>
      </x:c>
      <x:c r="B567" s="26" t="n">
        <x:v>46164</x:v>
      </x:c>
      <x:c r="C567" t="str">
        <x:v>CPO_Always_On</x:v>
      </x:c>
      <x:c r="D567" t="str">
        <x:v>BAI Directo/App</x:v>
      </x:c>
      <x:c r="E567" t="str">
        <x:v>Funcionário Público</x:v>
      </x:c>
      <x:c r="F567" t="str">
        <x:v>Huambo</x:v>
      </x:c>
      <x:c r="G567" t="str">
        <x:v>iOS</x:v>
      </x:c>
      <x:c r="H567" t="n">
        <x:v>5451</x:v>
      </x:c>
      <x:c r="I567" t="n">
        <x:v>771</x:v>
      </x:c>
      <x:c r="J567" t="n">
        <x:v>183</x:v>
      </x:c>
      <x:c r="K567" t="n">
        <x:v>114</x:v>
      </x:c>
      <x:c r="L567" t="n">
        <x:v>92</x:v>
      </x:c>
      <x:c r="M567" s="28" t="n">
        <x:v>158940467.62</x:v>
      </x:c>
      <x:c r="N567" s="28" t="n">
        <x:v>48647.84</x:v>
      </x:c>
      <x:c r="O567" s="30" t="n">
        <x:f>IFERROR(I567/H567,0)</x:f>
        <x:v>0.1414419372592185</x:v>
      </x:c>
      <x:c r="P567" s="30" t="n">
        <x:f>IFERROR(J567/I567,0)</x:f>
        <x:v>0.23735408560311283</x:v>
      </x:c>
      <x:c r="Q567" s="30" t="n">
        <x:f>IFERROR(K567/J567,0)</x:f>
        <x:v>0.6229508196721312</x:v>
      </x:c>
      <x:c r="R567" s="30" t="n">
        <x:f>IFERROR(L567/K567,0)</x:f>
        <x:v>0.8070175438596491</x:v>
      </x:c>
      <x:c r="S567" s="28" t="n">
        <x:f>IFERROR(N567/J567,0)</x:f>
        <x:v>265.83519125683057</x:v>
      </x:c>
      <x:c r="T567" s="28" t="n">
        <x:f>IFERROR(N567/K567,0)</x:f>
        <x:v>426.7354385964912</x:v>
      </x:c>
      <x:c r="U567" s="28" t="n">
        <x:f>IFERROR(N567/L567,0)</x:f>
        <x:v>528.7808695652174</x:v>
      </x:c>
    </x:row>
    <x:row r="568">
      <x:c r="A568" t="n">
        <x:v>567</x:v>
      </x:c>
      <x:c r="B568" s="26" t="n">
        <x:v>46164</x:v>
      </x:c>
      <x:c r="C568" t="str">
        <x:v>CPO_Salario</x:v>
      </x:c>
      <x:c r="D568" t="str">
        <x:v>Meta Ads</x:v>
      </x:c>
      <x:c r="E568" t="str">
        <x:v>Assalariado</x:v>
      </x:c>
      <x:c r="F568" t="str">
        <x:v>Cuanza Sul</x:v>
      </x:c>
      <x:c r="G568" t="str">
        <x:v>Android</x:v>
      </x:c>
      <x:c r="H568" t="n">
        <x:v>16170</x:v>
      </x:c>
      <x:c r="I568" t="n">
        <x:v>288</x:v>
      </x:c>
      <x:c r="J568" t="n">
        <x:v>37</x:v>
      </x:c>
      <x:c r="K568" t="n">
        <x:v>26</x:v>
      </x:c>
      <x:c r="L568" t="n">
        <x:v>20</x:v>
      </x:c>
      <x:c r="M568" s="28" t="n">
        <x:v>42319947</x:v>
      </x:c>
      <x:c r="N568" s="28" t="n">
        <x:v>34717.78</x:v>
      </x:c>
      <x:c r="O568" s="30" t="n">
        <x:f>IFERROR(I568/H568,0)</x:f>
        <x:v>0.017810760667903526</x:v>
      </x:c>
      <x:c r="P568" s="30" t="n">
        <x:f>IFERROR(J568/I568,0)</x:f>
        <x:v>0.1284722222222222</x:v>
      </x:c>
      <x:c r="Q568" s="30" t="n">
        <x:f>IFERROR(K568/J568,0)</x:f>
        <x:v>0.7027027027027027</x:v>
      </x:c>
      <x:c r="R568" s="30" t="n">
        <x:f>IFERROR(L568/K568,0)</x:f>
        <x:v>0.7692307692307693</x:v>
      </x:c>
      <x:c r="S568" s="28" t="n">
        <x:f>IFERROR(N568/J568,0)</x:f>
        <x:v>938.3183783783784</x:v>
      </x:c>
      <x:c r="T568" s="28" t="n">
        <x:f>IFERROR(N568/K568,0)</x:f>
        <x:v>1335.2992307692307</x:v>
      </x:c>
      <x:c r="U568" s="28" t="n">
        <x:f>IFERROR(N568/L568,0)</x:f>
        <x:v>1735.889</x:v>
      </x:c>
    </x:row>
    <x:row r="569">
      <x:c r="A569" t="n">
        <x:v>568</x:v>
      </x:c>
      <x:c r="B569" s="26" t="n">
        <x:v>46164</x:v>
      </x:c>
      <x:c r="C569" t="str">
        <x:v>CPO_Acesso_Rapido</x:v>
      </x:c>
      <x:c r="D569" t="str">
        <x:v>SMS</x:v>
      </x:c>
      <x:c r="E569" t="str">
        <x:v>Pequeno Negócio</x:v>
      </x:c>
      <x:c r="F569" t="str">
        <x:v>Cuanza Sul</x:v>
      </x:c>
      <x:c r="G569" t="str">
        <x:v>Android</x:v>
      </x:c>
      <x:c r="H569" t="n">
        <x:v>6755</x:v>
      </x:c>
      <x:c r="I569" t="n">
        <x:v>664</x:v>
      </x:c>
      <x:c r="J569" t="n">
        <x:v>100</x:v>
      </x:c>
      <x:c r="K569" t="n">
        <x:v>47</x:v>
      </x:c>
      <x:c r="L569" t="n">
        <x:v>23</x:v>
      </x:c>
      <x:c r="M569" s="28" t="n">
        <x:v>69198426.46</x:v>
      </x:c>
      <x:c r="N569" s="28" t="n">
        <x:v>39920.62</x:v>
      </x:c>
      <x:c r="O569" s="30" t="n">
        <x:f>IFERROR(I569/H569,0)</x:f>
        <x:v>0.09829755736491488</x:v>
      </x:c>
      <x:c r="P569" s="30" t="n">
        <x:f>IFERROR(J569/I569,0)</x:f>
        <x:v>0.15060240963855423</x:v>
      </x:c>
      <x:c r="Q569" s="30" t="n">
        <x:f>IFERROR(K569/J569,0)</x:f>
        <x:v>0.47</x:v>
      </x:c>
      <x:c r="R569" s="30" t="n">
        <x:f>IFERROR(L569/K569,0)</x:f>
        <x:v>0.48936170212765956</x:v>
      </x:c>
      <x:c r="S569" s="28" t="n">
        <x:f>IFERROR(N569/J569,0)</x:f>
        <x:v>399.2062</x:v>
      </x:c>
      <x:c r="T569" s="28" t="n">
        <x:f>IFERROR(N569/K569,0)</x:f>
        <x:v>849.3748936170214</x:v>
      </x:c>
      <x:c r="U569" s="28" t="n">
        <x:f>IFERROR(N569/L569,0)</x:f>
        <x:v>1735.6791304347828</x:v>
      </x:c>
    </x:row>
    <x:row r="570">
      <x:c r="A570" t="n">
        <x:v>569</x:v>
      </x:c>
      <x:c r="B570" s="26" t="n">
        <x:v>46165</x:v>
      </x:c>
      <x:c r="C570" t="str">
        <x:v>CPO_Always_On</x:v>
      </x:c>
      <x:c r="D570" t="str">
        <x:v>TikTok Ads</x:v>
      </x:c>
      <x:c r="E570" t="str">
        <x:v>Premium</x:v>
      </x:c>
      <x:c r="F570" t="str">
        <x:v>Luanda</x:v>
      </x:c>
      <x:c r="G570" t="str">
        <x:v>Android</x:v>
      </x:c>
      <x:c r="H570" t="n">
        <x:v>15974</x:v>
      </x:c>
      <x:c r="I570" t="n">
        <x:v>254</x:v>
      </x:c>
      <x:c r="J570" t="n">
        <x:v>21</x:v>
      </x:c>
      <x:c r="K570" t="n">
        <x:v>15</x:v>
      </x:c>
      <x:c r="L570" t="n">
        <x:v>9</x:v>
      </x:c>
      <x:c r="M570" s="28" t="n">
        <x:v>47678231.79</x:v>
      </x:c>
      <x:c r="N570" s="28" t="n">
        <x:v>27386.91</x:v>
      </x:c>
      <x:c r="O570" s="30" t="n">
        <x:f>IFERROR(I570/H570,0)</x:f>
        <x:v>0.015900838863152623</x:v>
      </x:c>
      <x:c r="P570" s="30" t="n">
        <x:f>IFERROR(J570/I570,0)</x:f>
        <x:v>0.08267716535433071</x:v>
      </x:c>
      <x:c r="Q570" s="30" t="n">
        <x:f>IFERROR(K570/J570,0)</x:f>
        <x:v>0.7142857142857143</x:v>
      </x:c>
      <x:c r="R570" s="30" t="n">
        <x:f>IFERROR(L570/K570,0)</x:f>
        <x:v>0.6</x:v>
      </x:c>
      <x:c r="S570" s="28" t="n">
        <x:f>IFERROR(N570/J570,0)</x:f>
        <x:v>1304.1385714285714</x:v>
      </x:c>
      <x:c r="T570" s="28" t="n">
        <x:f>IFERROR(N570/K570,0)</x:f>
        <x:v>1825.794</x:v>
      </x:c>
      <x:c r="U570" s="28" t="n">
        <x:f>IFERROR(N570/L570,0)</x:f>
        <x:v>3042.99</x:v>
      </x:c>
    </x:row>
    <x:row r="571">
      <x:c r="A571" t="n">
        <x:v>570</x:v>
      </x:c>
      <x:c r="B571" s="26" t="n">
        <x:v>46165</x:v>
      </x:c>
      <x:c r="C571" t="str">
        <x:v>CPO_Fim_do_Mes</x:v>
      </x:c>
      <x:c r="D571" t="str">
        <x:v>Meta Ads</x:v>
      </x:c>
      <x:c r="E571" t="str">
        <x:v>Pequeno Negócio</x:v>
      </x:c>
      <x:c r="F571" t="str">
        <x:v>Benguela</x:v>
      </x:c>
      <x:c r="G571" t="str">
        <x:v>Android</x:v>
      </x:c>
      <x:c r="H571" t="n">
        <x:v>18457</x:v>
      </x:c>
      <x:c r="I571" t="n">
        <x:v>302</x:v>
      </x:c>
      <x:c r="J571" t="n">
        <x:v>36</x:v>
      </x:c>
      <x:c r="K571" t="n">
        <x:v>17</x:v>
      </x:c>
      <x:c r="L571" t="n">
        <x:v>10</x:v>
      </x:c>
      <x:c r="M571" s="28" t="n">
        <x:v>30467842.96</x:v>
      </x:c>
      <x:c r="N571" s="28" t="n">
        <x:v>35140.94</x:v>
      </x:c>
      <x:c r="O571" s="30" t="n">
        <x:f>IFERROR(I571/H571,0)</x:f>
        <x:v>0.016362355745787507</x:v>
      </x:c>
      <x:c r="P571" s="30" t="n">
        <x:f>IFERROR(J571/I571,0)</x:f>
        <x:v>0.11920529801324503</x:v>
      </x:c>
      <x:c r="Q571" s="30" t="n">
        <x:f>IFERROR(K571/J571,0)</x:f>
        <x:v>0.4722222222222222</x:v>
      </x:c>
      <x:c r="R571" s="30" t="n">
        <x:f>IFERROR(L571/K571,0)</x:f>
        <x:v>0.5882352941176471</x:v>
      </x:c>
      <x:c r="S571" s="28" t="n">
        <x:f>IFERROR(N571/J571,0)</x:f>
        <x:v>976.1372222222222</x:v>
      </x:c>
      <x:c r="T571" s="28" t="n">
        <x:f>IFERROR(N571/K571,0)</x:f>
        <x:v>2067.114117647059</x:v>
      </x:c>
      <x:c r="U571" s="28" t="n">
        <x:f>IFERROR(N571/L571,0)</x:f>
        <x:v>3514.094</x:v>
      </x:c>
    </x:row>
    <x:row r="572">
      <x:c r="A572" t="n">
        <x:v>571</x:v>
      </x:c>
      <x:c r="B572" s="26" t="n">
        <x:v>46165</x:v>
      </x:c>
      <x:c r="C572" t="str">
        <x:v>CPO_Always_On</x:v>
      </x:c>
      <x:c r="D572" t="str">
        <x:v>E-mail</x:v>
      </x:c>
      <x:c r="E572" t="str">
        <x:v>Assalariado</x:v>
      </x:c>
      <x:c r="F572" t="str">
        <x:v>Huíla</x:v>
      </x:c>
      <x:c r="G572" t="str">
        <x:v>Android</x:v>
      </x:c>
      <x:c r="H572" t="n">
        <x:v>4549</x:v>
      </x:c>
      <x:c r="I572" t="n">
        <x:v>159</x:v>
      </x:c>
      <x:c r="J572" t="n">
        <x:v>12</x:v>
      </x:c>
      <x:c r="K572" t="n">
        <x:v>8</x:v>
      </x:c>
      <x:c r="L572" t="n">
        <x:v>6</x:v>
      </x:c>
      <x:c r="M572" s="28" t="n">
        <x:v>15281699.91</x:v>
      </x:c>
      <x:c r="N572" s="28" t="n">
        <x:v>30772.26</x:v>
      </x:c>
      <x:c r="O572" s="30" t="n">
        <x:f>IFERROR(I572/H572,0)</x:f>
        <x:v>0.03495273686524511</x:v>
      </x:c>
      <x:c r="P572" s="30" t="n">
        <x:f>IFERROR(J572/I572,0)</x:f>
        <x:v>0.07547169811320754</x:v>
      </x:c>
      <x:c r="Q572" s="30" t="n">
        <x:f>IFERROR(K572/J572,0)</x:f>
        <x:v>0.6666666666666666</x:v>
      </x:c>
      <x:c r="R572" s="30" t="n">
        <x:f>IFERROR(L572/K572,0)</x:f>
        <x:v>0.75</x:v>
      </x:c>
      <x:c r="S572" s="28" t="n">
        <x:f>IFERROR(N572/J572,0)</x:f>
        <x:v>2564.355</x:v>
      </x:c>
      <x:c r="T572" s="28" t="n">
        <x:f>IFERROR(N572/K572,0)</x:f>
        <x:v>3846.5325</x:v>
      </x:c>
      <x:c r="U572" s="28" t="n">
        <x:f>IFERROR(N572/L572,0)</x:f>
        <x:v>5128.71</x:v>
      </x:c>
    </x:row>
    <x:row r="573">
      <x:c r="A573" t="n">
        <x:v>572</x:v>
      </x:c>
      <x:c r="B573" s="26" t="n">
        <x:v>46165</x:v>
      </x:c>
      <x:c r="C573" t="str">
        <x:v>CPO_Digital_360</x:v>
      </x:c>
      <x:c r="D573" t="str">
        <x:v>Google Ads</x:v>
      </x:c>
      <x:c r="E573" t="str">
        <x:v>Assalariado</x:v>
      </x:c>
      <x:c r="F573" t="str">
        <x:v>Cabinda</x:v>
      </x:c>
      <x:c r="G573" t="str">
        <x:v>Desktop</x:v>
      </x:c>
      <x:c r="H573" t="n">
        <x:v>19881</x:v>
      </x:c>
      <x:c r="I573" t="n">
        <x:v>618</x:v>
      </x:c>
      <x:c r="J573" t="n">
        <x:v>75</x:v>
      </x:c>
      <x:c r="K573" t="n">
        <x:v>46</x:v>
      </x:c>
      <x:c r="L573" t="n">
        <x:v>29</x:v>
      </x:c>
      <x:c r="M573" s="28" t="n">
        <x:v>60290982.75</x:v>
      </x:c>
      <x:c r="N573" s="28" t="n">
        <x:v>90208.25</x:v>
      </x:c>
      <x:c r="O573" s="30" t="n">
        <x:f>IFERROR(I573/H573,0)</x:f>
        <x:v>0.031084955485136564</x:v>
      </x:c>
      <x:c r="P573" s="30" t="n">
        <x:f>IFERROR(J573/I573,0)</x:f>
        <x:v>0.12135922330097088</x:v>
      </x:c>
      <x:c r="Q573" s="30" t="n">
        <x:f>IFERROR(K573/J573,0)</x:f>
        <x:v>0.6133333333333333</x:v>
      </x:c>
      <x:c r="R573" s="30" t="n">
        <x:f>IFERROR(L573/K573,0)</x:f>
        <x:v>0.6304347826086957</x:v>
      </x:c>
      <x:c r="S573" s="28" t="n">
        <x:f>IFERROR(N573/J573,0)</x:f>
        <x:v>1202.7766666666666</x:v>
      </x:c>
      <x:c r="T573" s="28" t="n">
        <x:f>IFERROR(N573/K573,0)</x:f>
        <x:v>1961.0489130434783</x:v>
      </x:c>
      <x:c r="U573" s="28" t="n">
        <x:f>IFERROR(N573/L573,0)</x:f>
        <x:v>3110.6293103448274</x:v>
      </x:c>
    </x:row>
    <x:row r="574">
      <x:c r="A574" t="n">
        <x:v>573</x:v>
      </x:c>
      <x:c r="B574" s="26" t="n">
        <x:v>46165</x:v>
      </x:c>
      <x:c r="C574" t="str">
        <x:v>CPO_Always_On</x:v>
      </x:c>
      <x:c r="D574" t="str">
        <x:v>TikTok Ads</x:v>
      </x:c>
      <x:c r="E574" t="str">
        <x:v>Assalariado</x:v>
      </x:c>
      <x:c r="F574" t="str">
        <x:v>Huíla</x:v>
      </x:c>
      <x:c r="G574" t="str">
        <x:v>Android</x:v>
      </x:c>
      <x:c r="H574" t="n">
        <x:v>27615</x:v>
      </x:c>
      <x:c r="I574" t="n">
        <x:v>460</x:v>
      </x:c>
      <x:c r="J574" t="n">
        <x:v>54</x:v>
      </x:c>
      <x:c r="K574" t="n">
        <x:v>31</x:v>
      </x:c>
      <x:c r="L574" t="n">
        <x:v>23</x:v>
      </x:c>
      <x:c r="M574" s="28" t="n">
        <x:v>45369201.43</x:v>
      </x:c>
      <x:c r="N574" s="28" t="n">
        <x:v>54093.54</x:v>
      </x:c>
      <x:c r="O574" s="30" t="n">
        <x:f>IFERROR(I574/H574,0)</x:f>
        <x:v>0.01665761361578852</x:v>
      </x:c>
      <x:c r="P574" s="30" t="n">
        <x:f>IFERROR(J574/I574,0)</x:f>
        <x:v>0.11739130434782609</x:v>
      </x:c>
      <x:c r="Q574" s="30" t="n">
        <x:f>IFERROR(K574/J574,0)</x:f>
        <x:v>0.5740740740740741</x:v>
      </x:c>
      <x:c r="R574" s="30" t="n">
        <x:f>IFERROR(L574/K574,0)</x:f>
        <x:v>0.7419354838709677</x:v>
      </x:c>
      <x:c r="S574" s="28" t="n">
        <x:f>IFERROR(N574/J574,0)</x:f>
        <x:v>1001.7322222222223</x:v>
      </x:c>
      <x:c r="T574" s="28" t="n">
        <x:f>IFERROR(N574/K574,0)</x:f>
        <x:v>1744.9529032258065</x:v>
      </x:c>
      <x:c r="U574" s="28" t="n">
        <x:f>IFERROR(N574/L574,0)</x:f>
        <x:v>2351.893043478261</x:v>
      </x:c>
    </x:row>
    <x:row r="575">
      <x:c r="A575" t="n">
        <x:v>574</x:v>
      </x:c>
      <x:c r="B575" s="26" t="n">
        <x:v>46166</x:v>
      </x:c>
      <x:c r="C575" t="str">
        <x:v>CPO_Fim_do_Mes</x:v>
      </x:c>
      <x:c r="D575" t="str">
        <x:v>Google Ads</x:v>
      </x:c>
      <x:c r="E575" t="str">
        <x:v>Funcionário Público</x:v>
      </x:c>
      <x:c r="F575" t="str">
        <x:v>Cuanza Sul</x:v>
      </x:c>
      <x:c r="G575" t="str">
        <x:v>iOS</x:v>
      </x:c>
      <x:c r="H575" t="n">
        <x:v>12737</x:v>
      </x:c>
      <x:c r="I575" t="n">
        <x:v>298</x:v>
      </x:c>
      <x:c r="J575" t="n">
        <x:v>38</x:v>
      </x:c>
      <x:c r="K575" t="n">
        <x:v>28</x:v>
      </x:c>
      <x:c r="L575" t="n">
        <x:v>23</x:v>
      </x:c>
      <x:c r="M575" s="28" t="n">
        <x:v>38062003.89</x:v>
      </x:c>
      <x:c r="N575" s="28" t="n">
        <x:v>15813.72</x:v>
      </x:c>
      <x:c r="O575" s="30" t="n">
        <x:f>IFERROR(I575/H575,0)</x:f>
        <x:v>0.023396404176807724</x:v>
      </x:c>
      <x:c r="P575" s="30" t="n">
        <x:f>IFERROR(J575/I575,0)</x:f>
        <x:v>0.12751677852348994</x:v>
      </x:c>
      <x:c r="Q575" s="30" t="n">
        <x:f>IFERROR(K575/J575,0)</x:f>
        <x:v>0.7368421052631579</x:v>
      </x:c>
      <x:c r="R575" s="30" t="n">
        <x:f>IFERROR(L575/K575,0)</x:f>
        <x:v>0.8214285714285714</x:v>
      </x:c>
      <x:c r="S575" s="28" t="n">
        <x:f>IFERROR(N575/J575,0)</x:f>
        <x:v>416.1505263157895</x:v>
      </x:c>
      <x:c r="T575" s="28" t="n">
        <x:f>IFERROR(N575/K575,0)</x:f>
        <x:v>564.7757142857142</x:v>
      </x:c>
      <x:c r="U575" s="28" t="n">
        <x:f>IFERROR(N575/L575,0)</x:f>
        <x:v>687.5530434782609</x:v>
      </x:c>
    </x:row>
    <x:row r="576">
      <x:c r="A576" t="n">
        <x:v>575</x:v>
      </x:c>
      <x:c r="B576" s="26" t="n">
        <x:v>46166</x:v>
      </x:c>
      <x:c r="C576" t="str">
        <x:v>CPO_Fim_do_Mes</x:v>
      </x:c>
      <x:c r="D576" t="str">
        <x:v>E-mail</x:v>
      </x:c>
      <x:c r="E576" t="str">
        <x:v>Premium</x:v>
      </x:c>
      <x:c r="F576" t="str">
        <x:v>Cabinda</x:v>
      </x:c>
      <x:c r="G576" t="str">
        <x:v>Desktop</x:v>
      </x:c>
      <x:c r="H576" t="n">
        <x:v>6191</x:v>
      </x:c>
      <x:c r="I576" t="n">
        <x:v>332</x:v>
      </x:c>
      <x:c r="J576" t="n">
        <x:v>31</x:v>
      </x:c>
      <x:c r="K576" t="n">
        <x:v>23</x:v>
      </x:c>
      <x:c r="L576" t="n">
        <x:v>15</x:v>
      </x:c>
      <x:c r="M576" s="28" t="n">
        <x:v>74447070.77</x:v>
      </x:c>
      <x:c r="N576" s="28" t="n">
        <x:v>52895.34</x:v>
      </x:c>
      <x:c r="O576" s="30" t="n">
        <x:f>IFERROR(I576/H576,0)</x:f>
        <x:v>0.05362623162655468</x:v>
      </x:c>
      <x:c r="P576" s="30" t="n">
        <x:f>IFERROR(J576/I576,0)</x:f>
        <x:v>0.09337349397590361</x:v>
      </x:c>
      <x:c r="Q576" s="30" t="n">
        <x:f>IFERROR(K576/J576,0)</x:f>
        <x:v>0.7419354838709677</x:v>
      </x:c>
      <x:c r="R576" s="30" t="n">
        <x:f>IFERROR(L576/K576,0)</x:f>
        <x:v>0.6521739130434783</x:v>
      </x:c>
      <x:c r="S576" s="28" t="n">
        <x:f>IFERROR(N576/J576,0)</x:f>
        <x:v>1706.3012903225806</x:v>
      </x:c>
      <x:c r="T576" s="28" t="n">
        <x:f>IFERROR(N576/K576,0)</x:f>
        <x:v>2299.7973913043475</x:v>
      </x:c>
      <x:c r="U576" s="28" t="n">
        <x:f>IFERROR(N576/L576,0)</x:f>
        <x:v>3526.3559999999998</x:v>
      </x:c>
    </x:row>
    <x:row r="577">
      <x:c r="A577" t="n">
        <x:v>576</x:v>
      </x:c>
      <x:c r="B577" s="26" t="n">
        <x:v>46166</x:v>
      </x:c>
      <x:c r="C577" t="str">
        <x:v>CPO_Salario</x:v>
      </x:c>
      <x:c r="D577" t="str">
        <x:v>E-mail</x:v>
      </x:c>
      <x:c r="E577" t="str">
        <x:v>Funcionário Público</x:v>
      </x:c>
      <x:c r="F577" t="str">
        <x:v>Luanda</x:v>
      </x:c>
      <x:c r="G577" t="str">
        <x:v>iOS</x:v>
      </x:c>
      <x:c r="H577" t="n">
        <x:v>9182</x:v>
      </x:c>
      <x:c r="I577" t="n">
        <x:v>557</x:v>
      </x:c>
      <x:c r="J577" t="n">
        <x:v>55</x:v>
      </x:c>
      <x:c r="K577" t="n">
        <x:v>43</x:v>
      </x:c>
      <x:c r="L577" t="n">
        <x:v>26</x:v>
      </x:c>
      <x:c r="M577" s="28" t="n">
        <x:v>46834721.43</x:v>
      </x:c>
      <x:c r="N577" s="28" t="n">
        <x:v>116912.94</x:v>
      </x:c>
      <x:c r="O577" s="30" t="n">
        <x:f>IFERROR(I577/H577,0)</x:f>
        <x:v>0.06066216510564147</x:v>
      </x:c>
      <x:c r="P577" s="30" t="n">
        <x:f>IFERROR(J577/I577,0)</x:f>
        <x:v>0.09874326750448834</x:v>
      </x:c>
      <x:c r="Q577" s="30" t="n">
        <x:f>IFERROR(K577/J577,0)</x:f>
        <x:v>0.7818181818181819</x:v>
      </x:c>
      <x:c r="R577" s="30" t="n">
        <x:f>IFERROR(L577/K577,0)</x:f>
        <x:v>0.6046511627906976</x:v>
      </x:c>
      <x:c r="S577" s="28" t="n">
        <x:f>IFERROR(N577/J577,0)</x:f>
        <x:v>2125.6898181818183</x:v>
      </x:c>
      <x:c r="T577" s="28" t="n">
        <x:f>IFERROR(N577/K577,0)</x:f>
        <x:v>2718.9055813953487</x:v>
      </x:c>
      <x:c r="U577" s="28" t="n">
        <x:f>IFERROR(N577/L577,0)</x:f>
        <x:v>4496.651538461539</x:v>
      </x:c>
    </x:row>
    <x:row r="578">
      <x:c r="A578" t="n">
        <x:v>577</x:v>
      </x:c>
      <x:c r="B578" s="26" t="n">
        <x:v>46166</x:v>
      </x:c>
      <x:c r="C578" t="str">
        <x:v>CPO_Fim_do_Mes</x:v>
      </x:c>
      <x:c r="D578" t="str">
        <x:v>SMS</x:v>
      </x:c>
      <x:c r="E578" t="str">
        <x:v>Assalariado</x:v>
      </x:c>
      <x:c r="F578" t="str">
        <x:v>Uíge</x:v>
      </x:c>
      <x:c r="G578" t="str">
        <x:v>Android</x:v>
      </x:c>
      <x:c r="H578" t="n">
        <x:v>1500</x:v>
      </x:c>
      <x:c r="I578" t="n">
        <x:v>165</x:v>
      </x:c>
      <x:c r="J578" t="n">
        <x:v>22</x:v>
      </x:c>
      <x:c r="K578" t="n">
        <x:v>15</x:v>
      </x:c>
      <x:c r="L578" t="n">
        <x:v>9</x:v>
      </x:c>
      <x:c r="M578" s="28" t="n">
        <x:v>20355777.74</x:v>
      </x:c>
      <x:c r="N578" s="28" t="n">
        <x:v>25418.18</x:v>
      </x:c>
      <x:c r="O578" s="30" t="n">
        <x:f>IFERROR(I578/H578,0)</x:f>
        <x:v>0.11</x:v>
      </x:c>
      <x:c r="P578" s="30" t="n">
        <x:f>IFERROR(J578/I578,0)</x:f>
        <x:v>0.13333333333333333</x:v>
      </x:c>
      <x:c r="Q578" s="30" t="n">
        <x:f>IFERROR(K578/J578,0)</x:f>
        <x:v>0.6818181818181818</x:v>
      </x:c>
      <x:c r="R578" s="30" t="n">
        <x:f>IFERROR(L578/K578,0)</x:f>
        <x:v>0.6</x:v>
      </x:c>
      <x:c r="S578" s="28" t="n">
        <x:f>IFERROR(N578/J578,0)</x:f>
        <x:v>1155.3718181818183</x:v>
      </x:c>
      <x:c r="T578" s="28" t="n">
        <x:f>IFERROR(N578/K578,0)</x:f>
        <x:v>1694.5453333333332</x:v>
      </x:c>
      <x:c r="U578" s="28" t="n">
        <x:f>IFERROR(N578/L578,0)</x:f>
        <x:v>2824.242222222222</x:v>
      </x:c>
    </x:row>
    <x:row r="579">
      <x:c r="A579" t="n">
        <x:v>578</x:v>
      </x:c>
      <x:c r="B579" s="26" t="n">
        <x:v>46167</x:v>
      </x:c>
      <x:c r="C579" t="str">
        <x:v>CPO_Acesso_Rapido</x:v>
      </x:c>
      <x:c r="D579" t="str">
        <x:v>BAI Directo/App</x:v>
      </x:c>
      <x:c r="E579" t="str">
        <x:v>Premium</x:v>
      </x:c>
      <x:c r="F579" t="str">
        <x:v>Huíla</x:v>
      </x:c>
      <x:c r="G579" t="str">
        <x:v>Android</x:v>
      </x:c>
      <x:c r="H579" t="n">
        <x:v>4874</x:v>
      </x:c>
      <x:c r="I579" t="n">
        <x:v>528</x:v>
      </x:c>
      <x:c r="J579" t="n">
        <x:v>105</x:v>
      </x:c>
      <x:c r="K579" t="n">
        <x:v>69</x:v>
      </x:c>
      <x:c r="L579" t="n">
        <x:v>53</x:v>
      </x:c>
      <x:c r="M579" s="28" t="n">
        <x:v>259778107.23</x:v>
      </x:c>
      <x:c r="N579" s="28" t="n">
        <x:v>20079.5</x:v>
      </x:c>
      <x:c r="O579" s="30" t="n">
        <x:f>IFERROR(I579/H579,0)</x:f>
        <x:v>0.10832991382847763</x:v>
      </x:c>
      <x:c r="P579" s="30" t="n">
        <x:f>IFERROR(J579/I579,0)</x:f>
        <x:v>0.19886363636363635</x:v>
      </x:c>
      <x:c r="Q579" s="30" t="n">
        <x:f>IFERROR(K579/J579,0)</x:f>
        <x:v>0.6571428571428571</x:v>
      </x:c>
      <x:c r="R579" s="30" t="n">
        <x:f>IFERROR(L579/K579,0)</x:f>
        <x:v>0.7681159420289855</x:v>
      </x:c>
      <x:c r="S579" s="28" t="n">
        <x:f>IFERROR(N579/J579,0)</x:f>
        <x:v>191.23333333333332</x:v>
      </x:c>
      <x:c r="T579" s="28" t="n">
        <x:f>IFERROR(N579/K579,0)</x:f>
        <x:v>291.0072463768116</x:v>
      </x:c>
      <x:c r="U579" s="28" t="n">
        <x:f>IFERROR(N579/L579,0)</x:f>
        <x:v>378.85849056603774</x:v>
      </x:c>
    </x:row>
    <x:row r="580">
      <x:c r="A580" t="n">
        <x:v>579</x:v>
      </x:c>
      <x:c r="B580" s="26" t="n">
        <x:v>46167</x:v>
      </x:c>
      <x:c r="C580" t="str">
        <x:v>CPO_Premium</x:v>
      </x:c>
      <x:c r="D580" t="str">
        <x:v>Meta Ads</x:v>
      </x:c>
      <x:c r="E580" t="str">
        <x:v>Pequeno Negócio</x:v>
      </x:c>
      <x:c r="F580" t="str">
        <x:v>Huíla</x:v>
      </x:c>
      <x:c r="G580" t="str">
        <x:v>Desktop</x:v>
      </x:c>
      <x:c r="H580" t="n">
        <x:v>22747</x:v>
      </x:c>
      <x:c r="I580" t="n">
        <x:v>385</x:v>
      </x:c>
      <x:c r="J580" t="n">
        <x:v>40</x:v>
      </x:c>
      <x:c r="K580" t="n">
        <x:v>18</x:v>
      </x:c>
      <x:c r="L580" t="n">
        <x:v>10</x:v>
      </x:c>
      <x:c r="M580" s="28" t="n">
        <x:v>29350916.59</x:v>
      </x:c>
      <x:c r="N580" s="28" t="n">
        <x:v>72573.65</x:v>
      </x:c>
      <x:c r="O580" s="30" t="n">
        <x:f>IFERROR(I580/H580,0)</x:f>
        <x:v>0.016925308831933883</x:v>
      </x:c>
      <x:c r="P580" s="30" t="n">
        <x:f>IFERROR(J580/I580,0)</x:f>
        <x:v>0.1038961038961039</x:v>
      </x:c>
      <x:c r="Q580" s="30" t="n">
        <x:f>IFERROR(K580/J580,0)</x:f>
        <x:v>0.45</x:v>
      </x:c>
      <x:c r="R580" s="30" t="n">
        <x:f>IFERROR(L580/K580,0)</x:f>
        <x:v>0.5555555555555556</x:v>
      </x:c>
      <x:c r="S580" s="28" t="n">
        <x:f>IFERROR(N580/J580,0)</x:f>
        <x:v>1814.34125</x:v>
      </x:c>
      <x:c r="T580" s="28" t="n">
        <x:f>IFERROR(N580/K580,0)</x:f>
        <x:v>4031.869444444444</x:v>
      </x:c>
      <x:c r="U580" s="28" t="n">
        <x:f>IFERROR(N580/L580,0)</x:f>
        <x:v>7257.365</x:v>
      </x:c>
    </x:row>
    <x:row r="581">
      <x:c r="A581" t="n">
        <x:v>580</x:v>
      </x:c>
      <x:c r="B581" s="26" t="n">
        <x:v>46167</x:v>
      </x:c>
      <x:c r="C581" t="str">
        <x:v>CPO_Acesso_Rapido</x:v>
      </x:c>
      <x:c r="D581" t="str">
        <x:v>SMS</x:v>
      </x:c>
      <x:c r="E581" t="str">
        <x:v>Funcionário Público</x:v>
      </x:c>
      <x:c r="F581" t="str">
        <x:v>Malanje</x:v>
      </x:c>
      <x:c r="G581" t="str">
        <x:v>iOS</x:v>
      </x:c>
      <x:c r="H581" t="n">
        <x:v>7977</x:v>
      </x:c>
      <x:c r="I581" t="n">
        <x:v>997</x:v>
      </x:c>
      <x:c r="J581" t="n">
        <x:v>132</x:v>
      </x:c>
      <x:c r="K581" t="n">
        <x:v>97</x:v>
      </x:c>
      <x:c r="L581" t="n">
        <x:v>65</x:v>
      </x:c>
      <x:c r="M581" s="28" t="n">
        <x:v>110607313.91</x:v>
      </x:c>
      <x:c r="N581" s="28" t="n">
        <x:v>130572.36</x:v>
      </x:c>
      <x:c r="O581" s="30" t="n">
        <x:f>IFERROR(I581/H581,0)</x:f>
        <x:v>0.12498432994860223</x:v>
      </x:c>
      <x:c r="P581" s="30" t="n">
        <x:f>IFERROR(J581/I581,0)</x:f>
        <x:v>0.13239719157472418</x:v>
      </x:c>
      <x:c r="Q581" s="30" t="n">
        <x:f>IFERROR(K581/J581,0)</x:f>
        <x:v>0.7348484848484849</x:v>
      </x:c>
      <x:c r="R581" s="30" t="n">
        <x:f>IFERROR(L581/K581,0)</x:f>
        <x:v>0.6701030927835051</x:v>
      </x:c>
      <x:c r="S581" s="28" t="n">
        <x:f>IFERROR(N581/J581,0)</x:f>
        <x:v>989.1845454545455</x:v>
      </x:c>
      <x:c r="T581" s="28" t="n">
        <x:f>IFERROR(N581/K581,0)</x:f>
        <x:v>1346.1068041237113</x:v>
      </x:c>
      <x:c r="U581" s="28" t="n">
        <x:f>IFERROR(N581/L581,0)</x:f>
        <x:v>2008.8055384615384</x:v>
      </x:c>
    </x:row>
    <x:row r="582">
      <x:c r="A582" t="n">
        <x:v>581</x:v>
      </x:c>
      <x:c r="B582" s="26" t="n">
        <x:v>46167</x:v>
      </x:c>
      <x:c r="C582" t="str">
        <x:v>CPO_Digital_360</x:v>
      </x:c>
      <x:c r="D582" t="str">
        <x:v>Meta Ads</x:v>
      </x:c>
      <x:c r="E582" t="str">
        <x:v>Jovem Profissional</x:v>
      </x:c>
      <x:c r="F582" t="str">
        <x:v>Cabinda</x:v>
      </x:c>
      <x:c r="G582" t="str">
        <x:v>Android</x:v>
      </x:c>
      <x:c r="H582" t="n">
        <x:v>24377</x:v>
      </x:c>
      <x:c r="I582" t="n">
        <x:v>307</x:v>
      </x:c>
      <x:c r="J582" t="n">
        <x:v>35</x:v>
      </x:c>
      <x:c r="K582" t="n">
        <x:v>22</x:v>
      </x:c>
      <x:c r="L582" t="n">
        <x:v>13</x:v>
      </x:c>
      <x:c r="M582" s="28" t="n">
        <x:v>16550114.54</x:v>
      </x:c>
      <x:c r="N582" s="28" t="n">
        <x:v>15091.33</x:v>
      </x:c>
      <x:c r="O582" s="30" t="n">
        <x:f>IFERROR(I582/H582,0)</x:f>
        <x:v>0.012593838454280675</x:v>
      </x:c>
      <x:c r="P582" s="30" t="n">
        <x:f>IFERROR(J582/I582,0)</x:f>
        <x:v>0.11400651465798045</x:v>
      </x:c>
      <x:c r="Q582" s="30" t="n">
        <x:f>IFERROR(K582/J582,0)</x:f>
        <x:v>0.6285714285714286</x:v>
      </x:c>
      <x:c r="R582" s="30" t="n">
        <x:f>IFERROR(L582/K582,0)</x:f>
        <x:v>0.5909090909090909</x:v>
      </x:c>
      <x:c r="S582" s="28" t="n">
        <x:f>IFERROR(N582/J582,0)</x:f>
        <x:v>431.1808571428571</x:v>
      </x:c>
      <x:c r="T582" s="28" t="n">
        <x:f>IFERROR(N582/K582,0)</x:f>
        <x:v>685.9695454545455</x:v>
      </x:c>
      <x:c r="U582" s="28" t="n">
        <x:f>IFERROR(N582/L582,0)</x:f>
        <x:v>1160.8715384615384</x:v>
      </x:c>
    </x:row>
    <x:row r="583">
      <x:c r="A583" t="n">
        <x:v>582</x:v>
      </x:c>
      <x:c r="B583" s="26" t="n">
        <x:v>46168</x:v>
      </x:c>
      <x:c r="C583" t="str">
        <x:v>CPO_Fim_do_Mes</x:v>
      </x:c>
      <x:c r="D583" t="str">
        <x:v>SMS</x:v>
      </x:c>
      <x:c r="E583" t="str">
        <x:v>Premium</x:v>
      </x:c>
      <x:c r="F583" t="str">
        <x:v>Malanje</x:v>
      </x:c>
      <x:c r="G583" t="str">
        <x:v>iOS</x:v>
      </x:c>
      <x:c r="H583" t="n">
        <x:v>11480</x:v>
      </x:c>
      <x:c r="I583" t="n">
        <x:v>909</x:v>
      </x:c>
      <x:c r="J583" t="n">
        <x:v>89</x:v>
      </x:c>
      <x:c r="K583" t="n">
        <x:v>60</x:v>
      </x:c>
      <x:c r="L583" t="n">
        <x:v>48</x:v>
      </x:c>
      <x:c r="M583" s="28" t="n">
        <x:v>259328723.64</x:v>
      </x:c>
      <x:c r="N583" s="28" t="n">
        <x:v>184004.95</x:v>
      </x:c>
      <x:c r="O583" s="30" t="n">
        <x:f>IFERROR(I583/H583,0)</x:f>
        <x:v>0.07918118466898955</x:v>
      </x:c>
      <x:c r="P583" s="30" t="n">
        <x:f>IFERROR(J583/I583,0)</x:f>
        <x:v>0.09790979097909791</x:v>
      </x:c>
      <x:c r="Q583" s="30" t="n">
        <x:f>IFERROR(K583/J583,0)</x:f>
        <x:v>0.6741573033707865</x:v>
      </x:c>
      <x:c r="R583" s="30" t="n">
        <x:f>IFERROR(L583/K583,0)</x:f>
        <x:v>0.8</x:v>
      </x:c>
      <x:c r="S583" s="28" t="n">
        <x:f>IFERROR(N583/J583,0)</x:f>
        <x:v>2067.471348314607</x:v>
      </x:c>
      <x:c r="T583" s="28" t="n">
        <x:f>IFERROR(N583/K583,0)</x:f>
        <x:v>3066.749166666667</x:v>
      </x:c>
      <x:c r="U583" s="28" t="n">
        <x:f>IFERROR(N583/L583,0)</x:f>
        <x:v>3833.4364583333336</x:v>
      </x:c>
    </x:row>
    <x:row r="584">
      <x:c r="A584" t="n">
        <x:v>583</x:v>
      </x:c>
      <x:c r="B584" s="26" t="n">
        <x:v>46168</x:v>
      </x:c>
      <x:c r="C584" t="str">
        <x:v>CPO_Premium</x:v>
      </x:c>
      <x:c r="D584" t="str">
        <x:v>SMS</x:v>
      </x:c>
      <x:c r="E584" t="str">
        <x:v>Assalariado</x:v>
      </x:c>
      <x:c r="F584" t="str">
        <x:v>Luanda</x:v>
      </x:c>
      <x:c r="G584" t="str">
        <x:v>Android</x:v>
      </x:c>
      <x:c r="H584" t="n">
        <x:v>3001</x:v>
      </x:c>
      <x:c r="I584" t="n">
        <x:v>274</x:v>
      </x:c>
      <x:c r="J584" t="n">
        <x:v>34</x:v>
      </x:c>
      <x:c r="K584" t="n">
        <x:v>24</x:v>
      </x:c>
      <x:c r="L584" t="n">
        <x:v>13</x:v>
      </x:c>
      <x:c r="M584" s="28" t="n">
        <x:v>25654041.03</x:v>
      </x:c>
      <x:c r="N584" s="28" t="n">
        <x:v>36365.64</x:v>
      </x:c>
      <x:c r="O584" s="30" t="n">
        <x:f>IFERROR(I584/H584,0)</x:f>
        <x:v>0.09130289903365545</x:v>
      </x:c>
      <x:c r="P584" s="30" t="n">
        <x:f>IFERROR(J584/I584,0)</x:f>
        <x:v>0.12408759124087591</x:v>
      </x:c>
      <x:c r="Q584" s="30" t="n">
        <x:f>IFERROR(K584/J584,0)</x:f>
        <x:v>0.7058823529411765</x:v>
      </x:c>
      <x:c r="R584" s="30" t="n">
        <x:f>IFERROR(L584/K584,0)</x:f>
        <x:v>0.5416666666666666</x:v>
      </x:c>
      <x:c r="S584" s="28" t="n">
        <x:f>IFERROR(N584/J584,0)</x:f>
        <x:v>1069.5776470588235</x:v>
      </x:c>
      <x:c r="T584" s="28" t="n">
        <x:f>IFERROR(N584/K584,0)</x:f>
        <x:v>1515.235</x:v>
      </x:c>
      <x:c r="U584" s="28" t="n">
        <x:f>IFERROR(N584/L584,0)</x:f>
        <x:v>2797.356923076923</x:v>
      </x:c>
    </x:row>
    <x:row r="585">
      <x:c r="A585" t="n">
        <x:v>584</x:v>
      </x:c>
      <x:c r="B585" s="26" t="n">
        <x:v>46168</x:v>
      </x:c>
      <x:c r="C585" t="str">
        <x:v>CPO_Fim_do_Mes</x:v>
      </x:c>
      <x:c r="D585" t="str">
        <x:v>Meta Ads</x:v>
      </x:c>
      <x:c r="E585" t="str">
        <x:v>Jovem Profissional</x:v>
      </x:c>
      <x:c r="F585" t="str">
        <x:v>Uíge</x:v>
      </x:c>
      <x:c r="G585" t="str">
        <x:v>Desktop</x:v>
      </x:c>
      <x:c r="H585" t="n">
        <x:v>13096</x:v>
      </x:c>
      <x:c r="I585" t="n">
        <x:v>283</x:v>
      </x:c>
      <x:c r="J585" t="n">
        <x:v>31</x:v>
      </x:c>
      <x:c r="K585" t="n">
        <x:v>17</x:v>
      </x:c>
      <x:c r="L585" t="n">
        <x:v>8</x:v>
      </x:c>
      <x:c r="M585" s="28" t="n">
        <x:v>8094538.03</x:v>
      </x:c>
      <x:c r="N585" s="28" t="n">
        <x:v>29121.51</x:v>
      </x:c>
      <x:c r="O585" s="30" t="n">
        <x:f>IFERROR(I585/H585,0)</x:f>
        <x:v>0.02160965180207697</x:v>
      </x:c>
      <x:c r="P585" s="30" t="n">
        <x:f>IFERROR(J585/I585,0)</x:f>
        <x:v>0.10954063604240283</x:v>
      </x:c>
      <x:c r="Q585" s="30" t="n">
        <x:f>IFERROR(K585/J585,0)</x:f>
        <x:v>0.5483870967741935</x:v>
      </x:c>
      <x:c r="R585" s="30" t="n">
        <x:f>IFERROR(L585/K585,0)</x:f>
        <x:v>0.47058823529411764</x:v>
      </x:c>
      <x:c r="S585" s="28" t="n">
        <x:f>IFERROR(N585/J585,0)</x:f>
        <x:v>939.4035483870967</x:v>
      </x:c>
      <x:c r="T585" s="28" t="n">
        <x:f>IFERROR(N585/K585,0)</x:f>
        <x:v>1713.03</x:v>
      </x:c>
      <x:c r="U585" s="28" t="n">
        <x:f>IFERROR(N585/L585,0)</x:f>
        <x:v>3640.18875</x:v>
      </x:c>
    </x:row>
    <x:row r="586">
      <x:c r="A586" t="n">
        <x:v>585</x:v>
      </x:c>
      <x:c r="B586" s="26" t="n">
        <x:v>46169</x:v>
      </x:c>
      <x:c r="C586" t="str">
        <x:v>CPO_Acesso_Rapido</x:v>
      </x:c>
      <x:c r="D586" t="str">
        <x:v>Google Ads</x:v>
      </x:c>
      <x:c r="E586" t="str">
        <x:v>Pequeno Negócio</x:v>
      </x:c>
      <x:c r="F586" t="str">
        <x:v>Uíge</x:v>
      </x:c>
      <x:c r="G586" t="str">
        <x:v>Android</x:v>
      </x:c>
      <x:c r="H586" t="n">
        <x:v>12353</x:v>
      </x:c>
      <x:c r="I586" t="n">
        <x:v>322</x:v>
      </x:c>
      <x:c r="J586" t="n">
        <x:v>53</x:v>
      </x:c>
      <x:c r="K586" t="n">
        <x:v>24</x:v>
      </x:c>
      <x:c r="L586" t="n">
        <x:v>13</x:v>
      </x:c>
      <x:c r="M586" s="28" t="n">
        <x:v>36351429.8</x:v>
      </x:c>
      <x:c r="N586" s="28" t="n">
        <x:v>29282.1</x:v>
      </x:c>
      <x:c r="O586" s="30" t="n">
        <x:f>IFERROR(I586/H586,0)</x:f>
        <x:v>0.02606654254027362</x:v>
      </x:c>
      <x:c r="P586" s="30" t="n">
        <x:f>IFERROR(J586/I586,0)</x:f>
        <x:v>0.16459627329192547</x:v>
      </x:c>
      <x:c r="Q586" s="30" t="n">
        <x:f>IFERROR(K586/J586,0)</x:f>
        <x:v>0.4528301886792453</x:v>
      </x:c>
      <x:c r="R586" s="30" t="n">
        <x:f>IFERROR(L586/K586,0)</x:f>
        <x:v>0.5416666666666666</x:v>
      </x:c>
      <x:c r="S586" s="28" t="n">
        <x:f>IFERROR(N586/J586,0)</x:f>
        <x:v>552.4924528301887</x:v>
      </x:c>
      <x:c r="T586" s="28" t="n">
        <x:f>IFERROR(N586/K586,0)</x:f>
        <x:v>1220.0874999999999</x:v>
      </x:c>
      <x:c r="U586" s="28" t="n">
        <x:f>IFERROR(N586/L586,0)</x:f>
        <x:v>2252.4692307692308</x:v>
      </x:c>
    </x:row>
    <x:row r="587">
      <x:c r="A587" t="n">
        <x:v>586</x:v>
      </x:c>
      <x:c r="B587" s="26" t="n">
        <x:v>46169</x:v>
      </x:c>
      <x:c r="C587" t="str">
        <x:v>CPO_Acesso_Rapido</x:v>
      </x:c>
      <x:c r="D587" t="str">
        <x:v>Meta Ads</x:v>
      </x:c>
      <x:c r="E587" t="str">
        <x:v>Jovem Profissional</x:v>
      </x:c>
      <x:c r="F587" t="str">
        <x:v>Uíge</x:v>
      </x:c>
      <x:c r="G587" t="str">
        <x:v>Android</x:v>
      </x:c>
      <x:c r="H587" t="n">
        <x:v>21609</x:v>
      </x:c>
      <x:c r="I587" t="n">
        <x:v>398</x:v>
      </x:c>
      <x:c r="J587" t="n">
        <x:v>41</x:v>
      </x:c>
      <x:c r="K587" t="n">
        <x:v>24</x:v>
      </x:c>
      <x:c r="L587" t="n">
        <x:v>11</x:v>
      </x:c>
      <x:c r="M587" s="28" t="n">
        <x:v>13131141.68</x:v>
      </x:c>
      <x:c r="N587" s="28" t="n">
        <x:v>29805.79</x:v>
      </x:c>
      <x:c r="O587" s="30" t="n">
        <x:f>IFERROR(I587/H587,0)</x:f>
        <x:v>0.018418251654403257</x:v>
      </x:c>
      <x:c r="P587" s="30" t="n">
        <x:f>IFERROR(J587/I587,0)</x:f>
        <x:v>0.10301507537688442</x:v>
      </x:c>
      <x:c r="Q587" s="30" t="n">
        <x:f>IFERROR(K587/J587,0)</x:f>
        <x:v>0.5853658536585366</x:v>
      </x:c>
      <x:c r="R587" s="30" t="n">
        <x:f>IFERROR(L587/K587,0)</x:f>
        <x:v>0.4583333333333333</x:v>
      </x:c>
      <x:c r="S587" s="28" t="n">
        <x:f>IFERROR(N587/J587,0)</x:f>
        <x:v>726.9704878048781</x:v>
      </x:c>
      <x:c r="T587" s="28" t="n">
        <x:f>IFERROR(N587/K587,0)</x:f>
        <x:v>1241.9079166666668</x:v>
      </x:c>
      <x:c r="U587" s="28" t="n">
        <x:f>IFERROR(N587/L587,0)</x:f>
        <x:v>2709.617272727273</x:v>
      </x:c>
    </x:row>
    <x:row r="588">
      <x:c r="A588" t="n">
        <x:v>587</x:v>
      </x:c>
      <x:c r="B588" s="26" t="n">
        <x:v>46169</x:v>
      </x:c>
      <x:c r="C588" t="str">
        <x:v>CPO_Salario</x:v>
      </x:c>
      <x:c r="D588" t="str">
        <x:v>Meta Ads</x:v>
      </x:c>
      <x:c r="E588" t="str">
        <x:v>Premium</x:v>
      </x:c>
      <x:c r="F588" t="str">
        <x:v>Luanda</x:v>
      </x:c>
      <x:c r="G588" t="str">
        <x:v>Android</x:v>
      </x:c>
      <x:c r="H588" t="n">
        <x:v>16692</x:v>
      </x:c>
      <x:c r="I588" t="n">
        <x:v>246</x:v>
      </x:c>
      <x:c r="J588" t="n">
        <x:v>28</x:v>
      </x:c>
      <x:c r="K588" t="n">
        <x:v>17</x:v>
      </x:c>
      <x:c r="L588" t="n">
        <x:v>10</x:v>
      </x:c>
      <x:c r="M588" s="28" t="n">
        <x:v>59682088.93</x:v>
      </x:c>
      <x:c r="N588" s="28" t="n">
        <x:v>27269.23</x:v>
      </x:c>
      <x:c r="O588" s="30" t="n">
        <x:f>IFERROR(I588/H588,0)</x:f>
        <x:v>0.014737598849748382</x:v>
      </x:c>
      <x:c r="P588" s="30" t="n">
        <x:f>IFERROR(J588/I588,0)</x:f>
        <x:v>0.11382113821138211</x:v>
      </x:c>
      <x:c r="Q588" s="30" t="n">
        <x:f>IFERROR(K588/J588,0)</x:f>
        <x:v>0.6071428571428571</x:v>
      </x:c>
      <x:c r="R588" s="30" t="n">
        <x:f>IFERROR(L588/K588,0)</x:f>
        <x:v>0.5882352941176471</x:v>
      </x:c>
      <x:c r="S588" s="28" t="n">
        <x:f>IFERROR(N588/J588,0)</x:f>
        <x:v>973.9010714285714</x:v>
      </x:c>
      <x:c r="T588" s="28" t="n">
        <x:f>IFERROR(N588/K588,0)</x:f>
        <x:v>1604.0723529411764</x:v>
      </x:c>
      <x:c r="U588" s="28" t="n">
        <x:f>IFERROR(N588/L588,0)</x:f>
        <x:v>2726.923</x:v>
      </x:c>
    </x:row>
    <x:row r="589">
      <x:c r="A589" t="n">
        <x:v>588</x:v>
      </x:c>
      <x:c r="B589" s="26" t="n">
        <x:v>46170</x:v>
      </x:c>
      <x:c r="C589" t="str">
        <x:v>CPO_Premium</x:v>
      </x:c>
      <x:c r="D589" t="str">
        <x:v>SMS</x:v>
      </x:c>
      <x:c r="E589" t="str">
        <x:v>Pequeno Negócio</x:v>
      </x:c>
      <x:c r="F589" t="str">
        <x:v>Huíla</x:v>
      </x:c>
      <x:c r="G589" t="str">
        <x:v>Android</x:v>
      </x:c>
      <x:c r="H589" t="n">
        <x:v>10373</x:v>
      </x:c>
      <x:c r="I589" t="n">
        <x:v>801</x:v>
      </x:c>
      <x:c r="J589" t="n">
        <x:v>92</x:v>
      </x:c>
      <x:c r="K589" t="n">
        <x:v>41</x:v>
      </x:c>
      <x:c r="L589" t="n">
        <x:v>19</x:v>
      </x:c>
      <x:c r="M589" s="28" t="n">
        <x:v>61745915.35</x:v>
      </x:c>
      <x:c r="N589" s="28" t="n">
        <x:v>35368.07</x:v>
      </x:c>
      <x:c r="O589" s="30" t="n">
        <x:f>IFERROR(I589/H589,0)</x:f>
        <x:v>0.07721970500337415</x:v>
      </x:c>
      <x:c r="P589" s="30" t="n">
        <x:f>IFERROR(J589/I589,0)</x:f>
        <x:v>0.11485642946317104</x:v>
      </x:c>
      <x:c r="Q589" s="30" t="n">
        <x:f>IFERROR(K589/J589,0)</x:f>
        <x:v>0.44565217391304346</x:v>
      </x:c>
      <x:c r="R589" s="30" t="n">
        <x:f>IFERROR(L589/K589,0)</x:f>
        <x:v>0.4634146341463415</x:v>
      </x:c>
      <x:c r="S589" s="28" t="n">
        <x:f>IFERROR(N589/J589,0)</x:f>
        <x:v>384.43554347826085</x:v>
      </x:c>
      <x:c r="T589" s="28" t="n">
        <x:f>IFERROR(N589/K589,0)</x:f>
        <x:v>862.6358536585366</x:v>
      </x:c>
      <x:c r="U589" s="28" t="n">
        <x:f>IFERROR(N589/L589,0)</x:f>
        <x:v>1861.4773684210527</x:v>
      </x:c>
    </x:row>
    <x:row r="590">
      <x:c r="A590" t="n">
        <x:v>589</x:v>
      </x:c>
      <x:c r="B590" s="26" t="n">
        <x:v>46170</x:v>
      </x:c>
      <x:c r="C590" t="str">
        <x:v>CPO_Digital_360</x:v>
      </x:c>
      <x:c r="D590" t="str">
        <x:v>SMS</x:v>
      </x:c>
      <x:c r="E590" t="str">
        <x:v>Funcionário Público</x:v>
      </x:c>
      <x:c r="F590" t="str">
        <x:v>Luanda</x:v>
      </x:c>
      <x:c r="G590" t="str">
        <x:v>Android</x:v>
      </x:c>
      <x:c r="H590" t="n">
        <x:v>6138</x:v>
      </x:c>
      <x:c r="I590" t="n">
        <x:v>636</x:v>
      </x:c>
      <x:c r="J590" t="n">
        <x:v>81</x:v>
      </x:c>
      <x:c r="K590" t="n">
        <x:v>49</x:v>
      </x:c>
      <x:c r="L590" t="n">
        <x:v>47</x:v>
      </x:c>
      <x:c r="M590" s="28" t="n">
        <x:v>93632499.17</x:v>
      </x:c>
      <x:c r="N590" s="28" t="n">
        <x:v>42693.68</x:v>
      </x:c>
      <x:c r="O590" s="30" t="n">
        <x:f>IFERROR(I590/H590,0)</x:f>
        <x:v>0.10361681329423265</x:v>
      </x:c>
      <x:c r="P590" s="30" t="n">
        <x:f>IFERROR(J590/I590,0)</x:f>
        <x:v>0.12735849056603774</x:v>
      </x:c>
      <x:c r="Q590" s="30" t="n">
        <x:f>IFERROR(K590/J590,0)</x:f>
        <x:v>0.6049382716049383</x:v>
      </x:c>
      <x:c r="R590" s="30" t="n">
        <x:f>IFERROR(L590/K590,0)</x:f>
        <x:v>0.9591836734693877</x:v>
      </x:c>
      <x:c r="S590" s="28" t="n">
        <x:f>IFERROR(N590/J590,0)</x:f>
        <x:v>527.0824691358025</x:v>
      </x:c>
      <x:c r="T590" s="28" t="n">
        <x:f>IFERROR(N590/K590,0)</x:f>
        <x:v>871.2995918367347</x:v>
      </x:c>
      <x:c r="U590" s="28" t="n">
        <x:f>IFERROR(N590/L590,0)</x:f>
        <x:v>908.3761702127659</x:v>
      </x:c>
    </x:row>
    <x:row r="591">
      <x:c r="A591" t="n">
        <x:v>590</x:v>
      </x:c>
      <x:c r="B591" s="26" t="n">
        <x:v>46170</x:v>
      </x:c>
      <x:c r="C591" t="str">
        <x:v>CPO_Always_On</x:v>
      </x:c>
      <x:c r="D591" t="str">
        <x:v>E-mail</x:v>
      </x:c>
      <x:c r="E591" t="str">
        <x:v>Funcionário Público</x:v>
      </x:c>
      <x:c r="F591" t="str">
        <x:v>Luanda</x:v>
      </x:c>
      <x:c r="G591" t="str">
        <x:v>Android</x:v>
      </x:c>
      <x:c r="H591" t="n">
        <x:v>1793</x:v>
      </x:c>
      <x:c r="I591" t="n">
        <x:v>95</x:v>
      </x:c>
      <x:c r="J591" t="n">
        <x:v>7</x:v>
      </x:c>
      <x:c r="K591" t="n">
        <x:v>5</x:v>
      </x:c>
      <x:c r="L591" t="n">
        <x:v>4</x:v>
      </x:c>
      <x:c r="M591" s="28" t="n">
        <x:v>4987389.26</x:v>
      </x:c>
      <x:c r="N591" s="28" t="n">
        <x:v>11901.12</x:v>
      </x:c>
      <x:c r="O591" s="30" t="n">
        <x:f>IFERROR(I591/H591,0)</x:f>
        <x:v>0.05298382598996096</x:v>
      </x:c>
      <x:c r="P591" s="30" t="n">
        <x:f>IFERROR(J591/I591,0)</x:f>
        <x:v>0.07368421052631578</x:v>
      </x:c>
      <x:c r="Q591" s="30" t="n">
        <x:f>IFERROR(K591/J591,0)</x:f>
        <x:v>0.7142857142857143</x:v>
      </x:c>
      <x:c r="R591" s="30" t="n">
        <x:f>IFERROR(L591/K591,0)</x:f>
        <x:v>0.8</x:v>
      </x:c>
      <x:c r="S591" s="28" t="n">
        <x:f>IFERROR(N591/J591,0)</x:f>
        <x:v>1700.16</x:v>
      </x:c>
      <x:c r="T591" s="28" t="n">
        <x:f>IFERROR(N591/K591,0)</x:f>
        <x:v>2380.224</x:v>
      </x:c>
      <x:c r="U591" s="28" t="n">
        <x:f>IFERROR(N591/L591,0)</x:f>
        <x:v>2975.28</x:v>
      </x:c>
    </x:row>
    <x:row r="592">
      <x:c r="A592" t="n">
        <x:v>591</x:v>
      </x:c>
      <x:c r="B592" s="26" t="n">
        <x:v>46171</x:v>
      </x:c>
      <x:c r="C592" t="str">
        <x:v>CPO_Fim_do_Mes</x:v>
      </x:c>
      <x:c r="D592" t="str">
        <x:v>E-mail</x:v>
      </x:c>
      <x:c r="E592" t="str">
        <x:v>Pequeno Negócio</x:v>
      </x:c>
      <x:c r="F592" t="str">
        <x:v>Huíla</x:v>
      </x:c>
      <x:c r="G592" t="str">
        <x:v>Android</x:v>
      </x:c>
      <x:c r="H592" t="n">
        <x:v>8631</x:v>
      </x:c>
      <x:c r="I592" t="n">
        <x:v>522</x:v>
      </x:c>
      <x:c r="J592" t="n">
        <x:v>44</x:v>
      </x:c>
      <x:c r="K592" t="n">
        <x:v>20</x:v>
      </x:c>
      <x:c r="L592" t="n">
        <x:v>9</x:v>
      </x:c>
      <x:c r="M592" s="28" t="n">
        <x:v>26624908.56</x:v>
      </x:c>
      <x:c r="N592" s="28" t="n">
        <x:v>73760.35</x:v>
      </x:c>
      <x:c r="O592" s="30" t="n">
        <x:f>IFERROR(I592/H592,0)</x:f>
        <x:v>0.06047966631908238</x:v>
      </x:c>
      <x:c r="P592" s="30" t="n">
        <x:f>IFERROR(J592/I592,0)</x:f>
        <x:v>0.0842911877394636</x:v>
      </x:c>
      <x:c r="Q592" s="30" t="n">
        <x:f>IFERROR(K592/J592,0)</x:f>
        <x:v>0.45454545454545453</x:v>
      </x:c>
      <x:c r="R592" s="30" t="n">
        <x:f>IFERROR(L592/K592,0)</x:f>
        <x:v>0.45</x:v>
      </x:c>
      <x:c r="S592" s="28" t="n">
        <x:f>IFERROR(N592/J592,0)</x:f>
        <x:v>1676.371590909091</x:v>
      </x:c>
      <x:c r="T592" s="28" t="n">
        <x:f>IFERROR(N592/K592,0)</x:f>
        <x:v>3688.0175000000004</x:v>
      </x:c>
      <x:c r="U592" s="28" t="n">
        <x:f>IFERROR(N592/L592,0)</x:f>
        <x:v>8195.594444444445</x:v>
      </x:c>
    </x:row>
    <x:row r="593">
      <x:c r="A593" t="n">
        <x:v>592</x:v>
      </x:c>
      <x:c r="B593" s="26" t="n">
        <x:v>46171</x:v>
      </x:c>
      <x:c r="C593" t="str">
        <x:v>CPO_Premium</x:v>
      </x:c>
      <x:c r="D593" t="str">
        <x:v>Google Ads</x:v>
      </x:c>
      <x:c r="E593" t="str">
        <x:v>Pequeno Negócio</x:v>
      </x:c>
      <x:c r="F593" t="str">
        <x:v>Luanda</x:v>
      </x:c>
      <x:c r="G593" t="str">
        <x:v>Desktop</x:v>
      </x:c>
      <x:c r="H593" t="n">
        <x:v>12335</x:v>
      </x:c>
      <x:c r="I593" t="n">
        <x:v>254</x:v>
      </x:c>
      <x:c r="J593" t="n">
        <x:v>47</x:v>
      </x:c>
      <x:c r="K593" t="n">
        <x:v>23</x:v>
      </x:c>
      <x:c r="L593" t="n">
        <x:v>13</x:v>
      </x:c>
      <x:c r="M593" s="28" t="n">
        <x:v>38692446.73</x:v>
      </x:c>
      <x:c r="N593" s="28" t="n">
        <x:v>32812.03</x:v>
      </x:c>
      <x:c r="O593" s="30" t="n">
        <x:f>IFERROR(I593/H593,0)</x:f>
        <x:v>0.02059181191730847</x:v>
      </x:c>
      <x:c r="P593" s="30" t="n">
        <x:f>IFERROR(J593/I593,0)</x:f>
        <x:v>0.18503937007874016</x:v>
      </x:c>
      <x:c r="Q593" s="30" t="n">
        <x:f>IFERROR(K593/J593,0)</x:f>
        <x:v>0.48936170212765956</x:v>
      </x:c>
      <x:c r="R593" s="30" t="n">
        <x:f>IFERROR(L593/K593,0)</x:f>
        <x:v>0.5652173913043478</x:v>
      </x:c>
      <x:c r="S593" s="28" t="n">
        <x:f>IFERROR(N593/J593,0)</x:f>
        <x:v>698.1282978723405</x:v>
      </x:c>
      <x:c r="T593" s="28" t="n">
        <x:f>IFERROR(N593/K593,0)</x:f>
        <x:v>1426.61</x:v>
      </x:c>
      <x:c r="U593" s="28" t="n">
        <x:f>IFERROR(N593/L593,0)</x:f>
        <x:v>2524.0023076923076</x:v>
      </x:c>
    </x:row>
    <x:row r="594">
      <x:c r="A594" t="n">
        <x:v>593</x:v>
      </x:c>
      <x:c r="B594" s="26" t="n">
        <x:v>46171</x:v>
      </x:c>
      <x:c r="C594" t="str">
        <x:v>CPO_Fim_do_Mes</x:v>
      </x:c>
      <x:c r="D594" t="str">
        <x:v>BAI Directo/App</x:v>
      </x:c>
      <x:c r="E594" t="str">
        <x:v>Funcionário Público</x:v>
      </x:c>
      <x:c r="F594" t="str">
        <x:v>Luanda</x:v>
      </x:c>
      <x:c r="G594" t="str">
        <x:v>iOS</x:v>
      </x:c>
      <x:c r="H594" t="n">
        <x:v>9934</x:v>
      </x:c>
      <x:c r="I594" t="n">
        <x:v>1397</x:v>
      </x:c>
      <x:c r="J594" t="n">
        <x:v>237</x:v>
      </x:c>
      <x:c r="K594" t="n">
        <x:v>172</x:v>
      </x:c>
      <x:c r="L594" t="n">
        <x:v>129</x:v>
      </x:c>
      <x:c r="M594" s="28" t="n">
        <x:v>232946751.23</x:v>
      </x:c>
      <x:c r="N594" s="28" t="n">
        <x:v>109295.72</x:v>
      </x:c>
      <x:c r="O594" s="30" t="n">
        <x:f>IFERROR(I594/H594,0)</x:f>
        <x:v>0.1406281457620294</x:v>
      </x:c>
      <x:c r="P594" s="30" t="n">
        <x:f>IFERROR(J594/I594,0)</x:f>
        <x:v>0.16964924838940587</x:v>
      </x:c>
      <x:c r="Q594" s="30" t="n">
        <x:f>IFERROR(K594/J594,0)</x:f>
        <x:v>0.7257383966244726</x:v>
      </x:c>
      <x:c r="R594" s="30" t="n">
        <x:f>IFERROR(L594/K594,0)</x:f>
        <x:v>0.75</x:v>
      </x:c>
      <x:c r="S594" s="28" t="n">
        <x:f>IFERROR(N594/J594,0)</x:f>
        <x:v>461.1633755274262</x:v>
      </x:c>
      <x:c r="T594" s="28" t="n">
        <x:f>IFERROR(N594/K594,0)</x:f>
        <x:v>635.4402325581395</x:v>
      </x:c>
      <x:c r="U594" s="28" t="n">
        <x:f>IFERROR(N594/L594,0)</x:f>
        <x:v>847.2536434108528</x:v>
      </x:c>
    </x:row>
    <x:row r="595">
      <x:c r="A595" t="n">
        <x:v>594</x:v>
      </x:c>
      <x:c r="B595" s="26" t="n">
        <x:v>46171</x:v>
      </x:c>
      <x:c r="C595" t="str">
        <x:v>CPO_Always_On</x:v>
      </x:c>
      <x:c r="D595" t="str">
        <x:v>Meta Ads</x:v>
      </x:c>
      <x:c r="E595" t="str">
        <x:v>Premium</x:v>
      </x:c>
      <x:c r="F595" t="str">
        <x:v>Luanda</x:v>
      </x:c>
      <x:c r="G595" t="str">
        <x:v>Android</x:v>
      </x:c>
      <x:c r="H595" t="n">
        <x:v>11193</x:v>
      </x:c>
      <x:c r="I595" t="n">
        <x:v>281</x:v>
      </x:c>
      <x:c r="J595" t="n">
        <x:v>33</x:v>
      </x:c>
      <x:c r="K595" t="n">
        <x:v>25</x:v>
      </x:c>
      <x:c r="L595" t="n">
        <x:v>21</x:v>
      </x:c>
      <x:c r="M595" s="28" t="n">
        <x:v>117204510.77</x:v>
      </x:c>
      <x:c r="N595" s="28" t="n">
        <x:v>29635.41</x:v>
      </x:c>
      <x:c r="O595" s="30" t="n">
        <x:f>IFERROR(I595/H595,0)</x:f>
        <x:v>0.02510497632448852</x:v>
      </x:c>
      <x:c r="P595" s="30" t="n">
        <x:f>IFERROR(J595/I595,0)</x:f>
        <x:v>0.11743772241992882</x:v>
      </x:c>
      <x:c r="Q595" s="30" t="n">
        <x:f>IFERROR(K595/J595,0)</x:f>
        <x:v>0.7575757575757576</x:v>
      </x:c>
      <x:c r="R595" s="30" t="n">
        <x:f>IFERROR(L595/K595,0)</x:f>
        <x:v>0.84</x:v>
      </x:c>
      <x:c r="S595" s="28" t="n">
        <x:f>IFERROR(N595/J595,0)</x:f>
        <x:v>898.0427272727272</x:v>
      </x:c>
      <x:c r="T595" s="28" t="n">
        <x:f>IFERROR(N595/K595,0)</x:f>
        <x:v>1185.4164</x:v>
      </x:c>
      <x:c r="U595" s="28" t="n">
        <x:f>IFERROR(N595/L595,0)</x:f>
        <x:v>1411.21</x:v>
      </x:c>
    </x:row>
    <x:row r="596">
      <x:c r="A596" t="n">
        <x:v>595</x:v>
      </x:c>
      <x:c r="B596" s="26" t="n">
        <x:v>46171</x:v>
      </x:c>
      <x:c r="C596" t="str">
        <x:v>CPO_Always_On</x:v>
      </x:c>
      <x:c r="D596" t="str">
        <x:v>Meta Ads</x:v>
      </x:c>
      <x:c r="E596" t="str">
        <x:v>Funcionário Público</x:v>
      </x:c>
      <x:c r="F596" t="str">
        <x:v>Uíge</x:v>
      </x:c>
      <x:c r="G596" t="str">
        <x:v>Desktop</x:v>
      </x:c>
      <x:c r="H596" t="n">
        <x:v>4870</x:v>
      </x:c>
      <x:c r="I596" t="n">
        <x:v>112</x:v>
      </x:c>
      <x:c r="J596" t="n">
        <x:v>10</x:v>
      </x:c>
      <x:c r="K596" t="n">
        <x:v>7</x:v>
      </x:c>
      <x:c r="L596" t="n">
        <x:v>5</x:v>
      </x:c>
      <x:c r="M596" s="28" t="n">
        <x:v>11280968.92</x:v>
      </x:c>
      <x:c r="N596" s="28" t="n">
        <x:v>9280.8</x:v>
      </x:c>
      <x:c r="O596" s="30" t="n">
        <x:f>IFERROR(I596/H596,0)</x:f>
        <x:v>0.02299794661190965</x:v>
      </x:c>
      <x:c r="P596" s="30" t="n">
        <x:f>IFERROR(J596/I596,0)</x:f>
        <x:v>0.08928571428571429</x:v>
      </x:c>
      <x:c r="Q596" s="30" t="n">
        <x:f>IFERROR(K596/J596,0)</x:f>
        <x:v>0.7</x:v>
      </x:c>
      <x:c r="R596" s="30" t="n">
        <x:f>IFERROR(L596/K596,0)</x:f>
        <x:v>0.7142857142857143</x:v>
      </x:c>
      <x:c r="S596" s="28" t="n">
        <x:f>IFERROR(N596/J596,0)</x:f>
        <x:v>928.0799999999999</x:v>
      </x:c>
      <x:c r="T596" s="28" t="n">
        <x:f>IFERROR(N596/K596,0)</x:f>
        <x:v>1325.8285714285714</x:v>
      </x:c>
      <x:c r="U596" s="28" t="n">
        <x:f>IFERROR(N596/L596,0)</x:f>
        <x:v>1856.1599999999999</x:v>
      </x:c>
    </x:row>
    <x:row r="597">
      <x:c r="A597" t="n">
        <x:v>596</x:v>
      </x:c>
      <x:c r="B597" s="26" t="n">
        <x:v>46172</x:v>
      </x:c>
      <x:c r="C597" t="str">
        <x:v>CPO_Acesso_Rapido</x:v>
      </x:c>
      <x:c r="D597" t="str">
        <x:v>Meta Ads</x:v>
      </x:c>
      <x:c r="E597" t="str">
        <x:v>Jovem Profissional</x:v>
      </x:c>
      <x:c r="F597" t="str">
        <x:v>Luanda</x:v>
      </x:c>
      <x:c r="G597" t="str">
        <x:v>Android</x:v>
      </x:c>
      <x:c r="H597" t="n">
        <x:v>25285</x:v>
      </x:c>
      <x:c r="I597" t="n">
        <x:v>445</x:v>
      </x:c>
      <x:c r="J597" t="n">
        <x:v>24</x:v>
      </x:c>
      <x:c r="K597" t="n">
        <x:v>14</x:v>
      </x:c>
      <x:c r="L597" t="n">
        <x:v>10</x:v>
      </x:c>
      <x:c r="M597" s="28" t="n">
        <x:v>16015833.89</x:v>
      </x:c>
      <x:c r="N597" s="28" t="n">
        <x:v>33141.52</x:v>
      </x:c>
      <x:c r="O597" s="30" t="n">
        <x:f>IFERROR(I597/H597,0)</x:f>
        <x:v>0.017599367213763102</x:v>
      </x:c>
      <x:c r="P597" s="30" t="n">
        <x:f>IFERROR(J597/I597,0)</x:f>
        <x:v>0.05393258426966292</x:v>
      </x:c>
      <x:c r="Q597" s="30" t="n">
        <x:f>IFERROR(K597/J597,0)</x:f>
        <x:v>0.5833333333333334</x:v>
      </x:c>
      <x:c r="R597" s="30" t="n">
        <x:f>IFERROR(L597/K597,0)</x:f>
        <x:v>0.7142857142857143</x:v>
      </x:c>
      <x:c r="S597" s="28" t="n">
        <x:f>IFERROR(N597/J597,0)</x:f>
        <x:v>1380.8966666666665</x:v>
      </x:c>
      <x:c r="T597" s="28" t="n">
        <x:f>IFERROR(N597/K597,0)</x:f>
        <x:v>2367.2514285714283</x:v>
      </x:c>
      <x:c r="U597" s="28" t="n">
        <x:f>IFERROR(N597/L597,0)</x:f>
        <x:v>3314.1519999999996</x:v>
      </x:c>
    </x:row>
    <x:row r="598">
      <x:c r="A598" t="n">
        <x:v>597</x:v>
      </x:c>
      <x:c r="B598" s="26" t="n">
        <x:v>46172</x:v>
      </x:c>
      <x:c r="C598" t="str">
        <x:v>CPO_Acesso_Rapido</x:v>
      </x:c>
      <x:c r="D598" t="str">
        <x:v>Google Ads</x:v>
      </x:c>
      <x:c r="E598" t="str">
        <x:v>Assalariado</x:v>
      </x:c>
      <x:c r="F598" t="str">
        <x:v>Huíla</x:v>
      </x:c>
      <x:c r="G598" t="str">
        <x:v>Android</x:v>
      </x:c>
      <x:c r="H598" t="n">
        <x:v>6935</x:v>
      </x:c>
      <x:c r="I598" t="n">
        <x:v>244</x:v>
      </x:c>
      <x:c r="J598" t="n">
        <x:v>36</x:v>
      </x:c>
      <x:c r="K598" t="n">
        <x:v>27</x:v>
      </x:c>
      <x:c r="L598" t="n">
        <x:v>19</x:v>
      </x:c>
      <x:c r="M598" s="28" t="n">
        <x:v>42790049.39</x:v>
      </x:c>
      <x:c r="N598" s="28" t="n">
        <x:v>41413.39</x:v>
      </x:c>
      <x:c r="O598" s="30" t="n">
        <x:f>IFERROR(I598/H598,0)</x:f>
        <x:v>0.03518385003604903</x:v>
      </x:c>
      <x:c r="P598" s="30" t="n">
        <x:f>IFERROR(J598/I598,0)</x:f>
        <x:v>0.14754098360655737</x:v>
      </x:c>
      <x:c r="Q598" s="30" t="n">
        <x:f>IFERROR(K598/J598,0)</x:f>
        <x:v>0.75</x:v>
      </x:c>
      <x:c r="R598" s="30" t="n">
        <x:f>IFERROR(L598/K598,0)</x:f>
        <x:v>0.7037037037037037</x:v>
      </x:c>
      <x:c r="S598" s="28" t="n">
        <x:f>IFERROR(N598/J598,0)</x:f>
        <x:v>1150.3719444444444</x:v>
      </x:c>
      <x:c r="T598" s="28" t="n">
        <x:f>IFERROR(N598/K598,0)</x:f>
        <x:v>1533.8292592592593</x:v>
      </x:c>
      <x:c r="U598" s="28" t="n">
        <x:f>IFERROR(N598/L598,0)</x:f>
        <x:v>2179.652105263158</x:v>
      </x:c>
    </x:row>
    <x:row r="599">
      <x:c r="A599" t="n">
        <x:v>598</x:v>
      </x:c>
      <x:c r="B599" s="26" t="n">
        <x:v>46172</x:v>
      </x:c>
      <x:c r="C599" t="str">
        <x:v>CPO_Acesso_Rapido</x:v>
      </x:c>
      <x:c r="D599" t="str">
        <x:v>Google Ads</x:v>
      </x:c>
      <x:c r="E599" t="str">
        <x:v>Pequeno Negócio</x:v>
      </x:c>
      <x:c r="F599" t="str">
        <x:v>Luanda</x:v>
      </x:c>
      <x:c r="G599" t="str">
        <x:v>Android</x:v>
      </x:c>
      <x:c r="H599" t="n">
        <x:v>3729</x:v>
      </x:c>
      <x:c r="I599" t="n">
        <x:v>142</x:v>
      </x:c>
      <x:c r="J599" t="n">
        <x:v>20</x:v>
      </x:c>
      <x:c r="K599" t="n">
        <x:v>8</x:v>
      </x:c>
      <x:c r="L599" t="n">
        <x:v>4</x:v>
      </x:c>
      <x:c r="M599" s="28" t="n">
        <x:v>11378687.52</x:v>
      </x:c>
      <x:c r="N599" s="28" t="n">
        <x:v>11527.28</x:v>
      </x:c>
      <x:c r="O599" s="30" t="n">
        <x:f>IFERROR(I599/H599,0)</x:f>
        <x:v>0.03807991418610888</x:v>
      </x:c>
      <x:c r="P599" s="30" t="n">
        <x:f>IFERROR(J599/I599,0)</x:f>
        <x:v>0.14084507042253522</x:v>
      </x:c>
      <x:c r="Q599" s="30" t="n">
        <x:f>IFERROR(K599/J599,0)</x:f>
        <x:v>0.4</x:v>
      </x:c>
      <x:c r="R599" s="30" t="n">
        <x:f>IFERROR(L599/K599,0)</x:f>
        <x:v>0.5</x:v>
      </x:c>
      <x:c r="S599" s="28" t="n">
        <x:f>IFERROR(N599/J599,0)</x:f>
        <x:v>576.364</x:v>
      </x:c>
      <x:c r="T599" s="28" t="n">
        <x:f>IFERROR(N599/K599,0)</x:f>
        <x:v>1440.91</x:v>
      </x:c>
      <x:c r="U599" s="28" t="n">
        <x:f>IFERROR(N599/L599,0)</x:f>
        <x:v>2881.82</x:v>
      </x:c>
    </x:row>
    <x:row r="600">
      <x:c r="A600" t="n">
        <x:v>599</x:v>
      </x:c>
      <x:c r="B600" s="26" t="n">
        <x:v>46173</x:v>
      </x:c>
      <x:c r="C600" t="str">
        <x:v>CPO_Always_On</x:v>
      </x:c>
      <x:c r="D600" t="str">
        <x:v>Meta Ads</x:v>
      </x:c>
      <x:c r="E600" t="str">
        <x:v>Premium</x:v>
      </x:c>
      <x:c r="F600" t="str">
        <x:v>Luanda</x:v>
      </x:c>
      <x:c r="G600" t="str">
        <x:v>Android</x:v>
      </x:c>
      <x:c r="H600" t="n">
        <x:v>10281</x:v>
      </x:c>
      <x:c r="I600" t="n">
        <x:v>229</x:v>
      </x:c>
      <x:c r="J600" t="n">
        <x:v>27</x:v>
      </x:c>
      <x:c r="K600" t="n">
        <x:v>19</x:v>
      </x:c>
      <x:c r="L600" t="n">
        <x:v>16</x:v>
      </x:c>
      <x:c r="M600" s="28" t="n">
        <x:v>80199296.2</x:v>
      </x:c>
      <x:c r="N600" s="28" t="n">
        <x:v>12463.48</x:v>
      </x:c>
      <x:c r="O600" s="30" t="n">
        <x:f>IFERROR(I600/H600,0)</x:f>
        <x:v>0.022274097850403657</x:v>
      </x:c>
      <x:c r="P600" s="30" t="n">
        <x:f>IFERROR(J600/I600,0)</x:f>
        <x:v>0.11790393013100436</x:v>
      </x:c>
      <x:c r="Q600" s="30" t="n">
        <x:f>IFERROR(K600/J600,0)</x:f>
        <x:v>0.7037037037037037</x:v>
      </x:c>
      <x:c r="R600" s="30" t="n">
        <x:f>IFERROR(L600/K600,0)</x:f>
        <x:v>0.8421052631578947</x:v>
      </x:c>
      <x:c r="S600" s="28" t="n">
        <x:f>IFERROR(N600/J600,0)</x:f>
        <x:v>461.61037037037033</x:v>
      </x:c>
      <x:c r="T600" s="28" t="n">
        <x:f>IFERROR(N600/K600,0)</x:f>
        <x:v>655.9726315789474</x:v>
      </x:c>
      <x:c r="U600" s="28" t="n">
        <x:f>IFERROR(N600/L600,0)</x:f>
        <x:v>778.9675</x:v>
      </x:c>
    </x:row>
    <x:row r="601">
      <x:c r="A601" t="n">
        <x:v>600</x:v>
      </x:c>
      <x:c r="B601" s="26" t="n">
        <x:v>46173</x:v>
      </x:c>
      <x:c r="C601" t="str">
        <x:v>CPO_Fim_do_Mes</x:v>
      </x:c>
      <x:c r="D601" t="str">
        <x:v>BAI Directo/App</x:v>
      </x:c>
      <x:c r="E601" t="str">
        <x:v>Funcionário Público</x:v>
      </x:c>
      <x:c r="F601" t="str">
        <x:v>Huíla</x:v>
      </x:c>
      <x:c r="G601" t="str">
        <x:v>Android</x:v>
      </x:c>
      <x:c r="H601" t="n">
        <x:v>5420</x:v>
      </x:c>
      <x:c r="I601" t="n">
        <x:v>307</x:v>
      </x:c>
      <x:c r="J601" t="n">
        <x:v>61</x:v>
      </x:c>
      <x:c r="K601" t="n">
        <x:v>40</x:v>
      </x:c>
      <x:c r="L601" t="n">
        <x:v>31</x:v>
      </x:c>
      <x:c r="M601" s="28" t="n">
        <x:v>57482252.18</x:v>
      </x:c>
      <x:c r="N601" s="28" t="n">
        <x:v>91135.78</x:v>
      </x:c>
      <x:c r="O601" s="30" t="n">
        <x:f>IFERROR(I601/H601,0)</x:f>
        <x:v>0.05664206642066421</x:v>
      </x:c>
      <x:c r="P601" s="30" t="n">
        <x:f>IFERROR(J601/I601,0)</x:f>
        <x:v>0.1986970684039088</x:v>
      </x:c>
      <x:c r="Q601" s="30" t="n">
        <x:f>IFERROR(K601/J601,0)</x:f>
        <x:v>0.6557377049180327</x:v>
      </x:c>
      <x:c r="R601" s="30" t="n">
        <x:f>IFERROR(L601/K601,0)</x:f>
        <x:v>0.775</x:v>
      </x:c>
      <x:c r="S601" s="28" t="n">
        <x:f>IFERROR(N601/J601,0)</x:f>
        <x:v>1494.0291803278687</x:v>
      </x:c>
      <x:c r="T601" s="28" t="n">
        <x:f>IFERROR(N601/K601,0)</x:f>
        <x:v>2278.3945</x:v>
      </x:c>
      <x:c r="U601" s="28" t="n">
        <x:f>IFERROR(N601/L601,0)</x:f>
        <x:v>2939.863870967742</x:v>
      </x:c>
    </x:row>
    <x:row r="602">
      <x:c r="A602" t="n">
        <x:v>601</x:v>
      </x:c>
      <x:c r="B602" s="26" t="n">
        <x:v>46173</x:v>
      </x:c>
      <x:c r="C602" t="str">
        <x:v>CPO_Fim_do_Mes</x:v>
      </x:c>
      <x:c r="D602" t="str">
        <x:v>Meta Ads</x:v>
      </x:c>
      <x:c r="E602" t="str">
        <x:v>Jovem Profissional</x:v>
      </x:c>
      <x:c r="F602" t="str">
        <x:v>Luanda</x:v>
      </x:c>
      <x:c r="G602" t="str">
        <x:v>iOS</x:v>
      </x:c>
      <x:c r="H602" t="n">
        <x:v>23742</x:v>
      </x:c>
      <x:c r="I602" t="n">
        <x:v>804</x:v>
      </x:c>
      <x:c r="J602" t="n">
        <x:v>104</x:v>
      </x:c>
      <x:c r="K602" t="n">
        <x:v>54</x:v>
      </x:c>
      <x:c r="L602" t="n">
        <x:v>31</x:v>
      </x:c>
      <x:c r="M602" s="28" t="n">
        <x:v>42586600.72</x:v>
      </x:c>
      <x:c r="N602" s="28" t="n">
        <x:v>97502.11</x:v>
      </x:c>
      <x:c r="O602" s="30" t="n">
        <x:f>IFERROR(I602/H602,0)</x:f>
        <x:v>0.0338640384129391</x:v>
      </x:c>
      <x:c r="P602" s="30" t="n">
        <x:f>IFERROR(J602/I602,0)</x:f>
        <x:v>0.12935323383084577</x:v>
      </x:c>
      <x:c r="Q602" s="30" t="n">
        <x:f>IFERROR(K602/J602,0)</x:f>
        <x:v>0.5192307692307693</x:v>
      </x:c>
      <x:c r="R602" s="30" t="n">
        <x:f>IFERROR(L602/K602,0)</x:f>
        <x:v>0.5740740740740741</x:v>
      </x:c>
      <x:c r="S602" s="28" t="n">
        <x:f>IFERROR(N602/J602,0)</x:f>
        <x:v>937.5202884615385</x:v>
      </x:c>
      <x:c r="T602" s="28" t="n">
        <x:f>IFERROR(N602/K602,0)</x:f>
        <x:v>1805.5946296296297</x:v>
      </x:c>
      <x:c r="U602" s="28" t="n">
        <x:f>IFERROR(N602/L602,0)</x:f>
        <x:v>3145.2293548387097</x:v>
      </x:c>
    </x:row>
    <x:row r="603">
      <x:c r="A603" t="n">
        <x:v>602</x:v>
      </x:c>
      <x:c r="B603" s="26" t="n">
        <x:v>46174</x:v>
      </x:c>
      <x:c r="C603" t="str">
        <x:v>CPO_Digital_360</x:v>
      </x:c>
      <x:c r="D603" t="str">
        <x:v>E-mail</x:v>
      </x:c>
      <x:c r="E603" t="str">
        <x:v>Pequeno Negócio</x:v>
      </x:c>
      <x:c r="F603" t="str">
        <x:v>Huíla</x:v>
      </x:c>
      <x:c r="G603" t="str">
        <x:v>Android</x:v>
      </x:c>
      <x:c r="H603" t="n">
        <x:v>2411</x:v>
      </x:c>
      <x:c r="I603" t="n">
        <x:v>180</x:v>
      </x:c>
      <x:c r="J603" t="n">
        <x:v>19</x:v>
      </x:c>
      <x:c r="K603" t="n">
        <x:v>8</x:v>
      </x:c>
      <x:c r="L603" t="n">
        <x:v>5</x:v>
      </x:c>
      <x:c r="M603" s="28" t="n">
        <x:v>15953149.85</x:v>
      </x:c>
      <x:c r="N603" s="28" t="n">
        <x:v>8307.15</x:v>
      </x:c>
      <x:c r="O603" s="30" t="n">
        <x:f>IFERROR(I603/H603,0)</x:f>
        <x:v>0.07465781833264205</x:v>
      </x:c>
      <x:c r="P603" s="30" t="n">
        <x:f>IFERROR(J603/I603,0)</x:f>
        <x:v>0.10555555555555556</x:v>
      </x:c>
      <x:c r="Q603" s="30" t="n">
        <x:f>IFERROR(K603/J603,0)</x:f>
        <x:v>0.42105263157894735</x:v>
      </x:c>
      <x:c r="R603" s="30" t="n">
        <x:f>IFERROR(L603/K603,0)</x:f>
        <x:v>0.625</x:v>
      </x:c>
      <x:c r="S603" s="28" t="n">
        <x:f>IFERROR(N603/J603,0)</x:f>
        <x:v>437.2184210526316</x:v>
      </x:c>
      <x:c r="T603" s="28" t="n">
        <x:f>IFERROR(N603/K603,0)</x:f>
        <x:v>1038.39375</x:v>
      </x:c>
      <x:c r="U603" s="28" t="n">
        <x:f>IFERROR(N603/L603,0)</x:f>
        <x:v>1661.4299999999998</x:v>
      </x:c>
    </x:row>
    <x:row r="604">
      <x:c r="A604" t="n">
        <x:v>603</x:v>
      </x:c>
      <x:c r="B604" s="26" t="n">
        <x:v>46174</x:v>
      </x:c>
      <x:c r="C604" t="str">
        <x:v>CPO_Premium</x:v>
      </x:c>
      <x:c r="D604" t="str">
        <x:v>TikTok Ads</x:v>
      </x:c>
      <x:c r="E604" t="str">
        <x:v>Jovem Profissional</x:v>
      </x:c>
      <x:c r="F604" t="str">
        <x:v>Luanda</x:v>
      </x:c>
      <x:c r="G604" t="str">
        <x:v>iOS</x:v>
      </x:c>
      <x:c r="H604" t="n">
        <x:v>7271</x:v>
      </x:c>
      <x:c r="I604" t="n">
        <x:v>100</x:v>
      </x:c>
      <x:c r="J604" t="n">
        <x:v>9</x:v>
      </x:c>
      <x:c r="K604" t="n">
        <x:v>6</x:v>
      </x:c>
      <x:c r="L604" t="n">
        <x:v>2</x:v>
      </x:c>
      <x:c r="M604" s="28" t="n">
        <x:v>3041274.04</x:v>
      </x:c>
      <x:c r="N604" s="28" t="n">
        <x:v>8694.39</x:v>
      </x:c>
      <x:c r="O604" s="30" t="n">
        <x:f>IFERROR(I604/H604,0)</x:f>
        <x:v>0.013753266400770183</x:v>
      </x:c>
      <x:c r="P604" s="30" t="n">
        <x:f>IFERROR(J604/I604,0)</x:f>
        <x:v>0.09</x:v>
      </x:c>
      <x:c r="Q604" s="30" t="n">
        <x:f>IFERROR(K604/J604,0)</x:f>
        <x:v>0.6666666666666666</x:v>
      </x:c>
      <x:c r="R604" s="30" t="n">
        <x:f>IFERROR(L604/K604,0)</x:f>
        <x:v>0.3333333333333333</x:v>
      </x:c>
      <x:c r="S604" s="28" t="n">
        <x:f>IFERROR(N604/J604,0)</x:f>
        <x:v>966.0433333333333</x:v>
      </x:c>
      <x:c r="T604" s="28" t="n">
        <x:f>IFERROR(N604/K604,0)</x:f>
        <x:v>1449.0649999999998</x:v>
      </x:c>
      <x:c r="U604" s="28" t="n">
        <x:f>IFERROR(N604/L604,0)</x:f>
        <x:v>4347.195</x:v>
      </x:c>
    </x:row>
    <x:row r="605">
      <x:c r="A605" t="n">
        <x:v>604</x:v>
      </x:c>
      <x:c r="B605" s="26" t="n">
        <x:v>46174</x:v>
      </x:c>
      <x:c r="C605" t="str">
        <x:v>CPO_Acesso_Rapido</x:v>
      </x:c>
      <x:c r="D605" t="str">
        <x:v>BAI Directo/App</x:v>
      </x:c>
      <x:c r="E605" t="str">
        <x:v>Premium</x:v>
      </x:c>
      <x:c r="F605" t="str">
        <x:v>Malanje</x:v>
      </x:c>
      <x:c r="G605" t="str">
        <x:v>Android</x:v>
      </x:c>
      <x:c r="H605" t="n">
        <x:v>10710</x:v>
      </x:c>
      <x:c r="I605" t="n">
        <x:v>1207</x:v>
      </x:c>
      <x:c r="J605" t="n">
        <x:v>257</x:v>
      </x:c>
      <x:c r="K605" t="n">
        <x:v>166</x:v>
      </x:c>
      <x:c r="L605" t="n">
        <x:v>158</x:v>
      </x:c>
      <x:c r="M605" s="28" t="n">
        <x:v>831822136.88</x:v>
      </x:c>
      <x:c r="N605" s="28" t="n">
        <x:v>128558.36</x:v>
      </x:c>
      <x:c r="O605" s="30" t="n">
        <x:f>IFERROR(I605/H605,0)</x:f>
        <x:v>0.1126984126984127</x:v>
      </x:c>
      <x:c r="P605" s="30" t="n">
        <x:f>IFERROR(J605/I605,0)</x:f>
        <x:v>0.21292460646230324</x:v>
      </x:c>
      <x:c r="Q605" s="30" t="n">
        <x:f>IFERROR(K605/J605,0)</x:f>
        <x:v>0.6459143968871596</x:v>
      </x:c>
      <x:c r="R605" s="30" t="n">
        <x:f>IFERROR(L605/K605,0)</x:f>
        <x:v>0.9518072289156626</x:v>
      </x:c>
      <x:c r="S605" s="28" t="n">
        <x:f>IFERROR(N605/J605,0)</x:f>
        <x:v>500.2270817120623</x:v>
      </x:c>
      <x:c r="T605" s="28" t="n">
        <x:f>IFERROR(N605/K605,0)</x:f>
        <x:v>774.447951807229</x:v>
      </x:c>
      <x:c r="U605" s="28" t="n">
        <x:f>IFERROR(N605/L605,0)</x:f>
        <x:v>813.6605063291139</x:v>
      </x:c>
    </x:row>
    <x:row r="606">
      <x:c r="A606" t="n">
        <x:v>605</x:v>
      </x:c>
      <x:c r="B606" s="26" t="n">
        <x:v>46174</x:v>
      </x:c>
      <x:c r="C606" t="str">
        <x:v>CPO_Fim_do_Mes</x:v>
      </x:c>
      <x:c r="D606" t="str">
        <x:v>Google Ads</x:v>
      </x:c>
      <x:c r="E606" t="str">
        <x:v>Assalariado</x:v>
      </x:c>
      <x:c r="F606" t="str">
        <x:v>Luanda</x:v>
      </x:c>
      <x:c r="G606" t="str">
        <x:v>Android</x:v>
      </x:c>
      <x:c r="H606" t="n">
        <x:v>27701</x:v>
      </x:c>
      <x:c r="I606" t="n">
        <x:v>901</x:v>
      </x:c>
      <x:c r="J606" t="n">
        <x:v>150</x:v>
      </x:c>
      <x:c r="K606" t="n">
        <x:v>107</x:v>
      </x:c>
      <x:c r="L606" t="n">
        <x:v>67</x:v>
      </x:c>
      <x:c r="M606" s="28" t="n">
        <x:v>147626016.05</x:v>
      </x:c>
      <x:c r="N606" s="28" t="n">
        <x:v>42223.6</x:v>
      </x:c>
      <x:c r="O606" s="30" t="n">
        <x:f>IFERROR(I606/H606,0)</x:f>
        <x:v>0.03252590159200029</x:v>
      </x:c>
      <x:c r="P606" s="30" t="n">
        <x:f>IFERROR(J606/I606,0)</x:f>
        <x:v>0.16648168701442842</x:v>
      </x:c>
      <x:c r="Q606" s="30" t="n">
        <x:f>IFERROR(K606/J606,0)</x:f>
        <x:v>0.7133333333333334</x:v>
      </x:c>
      <x:c r="R606" s="30" t="n">
        <x:f>IFERROR(L606/K606,0)</x:f>
        <x:v>0.6261682242990654</x:v>
      </x:c>
      <x:c r="S606" s="28" t="n">
        <x:f>IFERROR(N606/J606,0)</x:f>
        <x:v>281.49066666666664</x:v>
      </x:c>
      <x:c r="T606" s="28" t="n">
        <x:f>IFERROR(N606/K606,0)</x:f>
        <x:v>394.6130841121495</x:v>
      </x:c>
      <x:c r="U606" s="28" t="n">
        <x:f>IFERROR(N606/L606,0)</x:f>
        <x:v>630.2029850746269</x:v>
      </x:c>
    </x:row>
    <x:row r="607">
      <x:c r="A607" t="n">
        <x:v>606</x:v>
      </x:c>
      <x:c r="B607" s="26" t="n">
        <x:v>46175</x:v>
      </x:c>
      <x:c r="C607" t="str">
        <x:v>CPO_Salario</x:v>
      </x:c>
      <x:c r="D607" t="str">
        <x:v>Meta Ads</x:v>
      </x:c>
      <x:c r="E607" t="str">
        <x:v>Pequeno Negócio</x:v>
      </x:c>
      <x:c r="F607" t="str">
        <x:v>Luanda</x:v>
      </x:c>
      <x:c r="G607" t="str">
        <x:v>iOS</x:v>
      </x:c>
      <x:c r="H607" t="n">
        <x:v>24706</x:v>
      </x:c>
      <x:c r="I607" t="n">
        <x:v>298</x:v>
      </x:c>
      <x:c r="J607" t="n">
        <x:v>24</x:v>
      </x:c>
      <x:c r="K607" t="n">
        <x:v>13</x:v>
      </x:c>
      <x:c r="L607" t="n">
        <x:v>6</x:v>
      </x:c>
      <x:c r="M607" s="28" t="n">
        <x:v>19203539.85</x:v>
      </x:c>
      <x:c r="N607" s="28" t="n">
        <x:v>33758.95</x:v>
      </x:c>
      <x:c r="O607" s="30" t="n">
        <x:f>IFERROR(I607/H607,0)</x:f>
        <x:v>0.01206184732453655</x:v>
      </x:c>
      <x:c r="P607" s="30" t="n">
        <x:f>IFERROR(J607/I607,0)</x:f>
        <x:v>0.08053691275167785</x:v>
      </x:c>
      <x:c r="Q607" s="30" t="n">
        <x:f>IFERROR(K607/J607,0)</x:f>
        <x:v>0.5416666666666666</x:v>
      </x:c>
      <x:c r="R607" s="30" t="n">
        <x:f>IFERROR(L607/K607,0)</x:f>
        <x:v>0.46153846153846156</x:v>
      </x:c>
      <x:c r="S607" s="28" t="n">
        <x:f>IFERROR(N607/J607,0)</x:f>
        <x:v>1406.6229166666665</x:v>
      </x:c>
      <x:c r="T607" s="28" t="n">
        <x:f>IFERROR(N607/K607,0)</x:f>
        <x:v>2596.8423076923073</x:v>
      </x:c>
      <x:c r="U607" s="28" t="n">
        <x:f>IFERROR(N607/L607,0)</x:f>
        <x:v>5626.491666666666</x:v>
      </x:c>
    </x:row>
    <x:row r="608">
      <x:c r="A608" t="n">
        <x:v>607</x:v>
      </x:c>
      <x:c r="B608" s="26" t="n">
        <x:v>46175</x:v>
      </x:c>
      <x:c r="C608" t="str">
        <x:v>CPO_Salario</x:v>
      </x:c>
      <x:c r="D608" t="str">
        <x:v>SMS</x:v>
      </x:c>
      <x:c r="E608" t="str">
        <x:v>Assalariado</x:v>
      </x:c>
      <x:c r="F608" t="str">
        <x:v>Luanda</x:v>
      </x:c>
      <x:c r="G608" t="str">
        <x:v>iOS</x:v>
      </x:c>
      <x:c r="H608" t="n">
        <x:v>9973</x:v>
      </x:c>
      <x:c r="I608" t="n">
        <x:v>1095</x:v>
      </x:c>
      <x:c r="J608" t="n">
        <x:v>163</x:v>
      </x:c>
      <x:c r="K608" t="n">
        <x:v>105</x:v>
      </x:c>
      <x:c r="L608" t="n">
        <x:v>81</x:v>
      </x:c>
      <x:c r="M608" s="28" t="n">
        <x:v>171512655.66</x:v>
      </x:c>
      <x:c r="N608" s="28" t="n">
        <x:v>77179.45</x:v>
      </x:c>
      <x:c r="O608" s="30" t="n">
        <x:f>IFERROR(I608/H608,0)</x:f>
        <x:v>0.10979645041612353</x:v>
      </x:c>
      <x:c r="P608" s="30" t="n">
        <x:f>IFERROR(J608/I608,0)</x:f>
        <x:v>0.14885844748858448</x:v>
      </x:c>
      <x:c r="Q608" s="30" t="n">
        <x:f>IFERROR(K608/J608,0)</x:f>
        <x:v>0.6441717791411042</x:v>
      </x:c>
      <x:c r="R608" s="30" t="n">
        <x:f>IFERROR(L608/K608,0)</x:f>
        <x:v>0.7714285714285715</x:v>
      </x:c>
      <x:c r="S608" s="28" t="n">
        <x:f>IFERROR(N608/J608,0)</x:f>
        <x:v>473.4935582822086</x:v>
      </x:c>
      <x:c r="T608" s="28" t="n">
        <x:f>IFERROR(N608/K608,0)</x:f>
        <x:v>735.0423809523809</x:v>
      </x:c>
      <x:c r="U608" s="28" t="n">
        <x:f>IFERROR(N608/L608,0)</x:f>
        <x:v>952.8327160493827</x:v>
      </x:c>
    </x:row>
    <x:row r="609">
      <x:c r="A609" t="n">
        <x:v>608</x:v>
      </x:c>
      <x:c r="B609" s="26" t="n">
        <x:v>46175</x:v>
      </x:c>
      <x:c r="C609" t="str">
        <x:v>CPO_Premium</x:v>
      </x:c>
      <x:c r="D609" t="str">
        <x:v>TikTok Ads</x:v>
      </x:c>
      <x:c r="E609" t="str">
        <x:v>Jovem Profissional</x:v>
      </x:c>
      <x:c r="F609" t="str">
        <x:v>Malanje</x:v>
      </x:c>
      <x:c r="G609" t="str">
        <x:v>Desktop</x:v>
      </x:c>
      <x:c r="H609" t="n">
        <x:v>14474</x:v>
      </x:c>
      <x:c r="I609" t="n">
        <x:v>229</x:v>
      </x:c>
      <x:c r="J609" t="n">
        <x:v>17</x:v>
      </x:c>
      <x:c r="K609" t="n">
        <x:v>8</x:v>
      </x:c>
      <x:c r="L609" t="n">
        <x:v>5</x:v>
      </x:c>
      <x:c r="M609" s="28" t="n">
        <x:v>6002004.75</x:v>
      </x:c>
      <x:c r="N609" s="28" t="n">
        <x:v>24445.7</x:v>
      </x:c>
      <x:c r="O609" s="30" t="n">
        <x:f>IFERROR(I609/H609,0)</x:f>
        <x:v>0.01582147298604394</x:v>
      </x:c>
      <x:c r="P609" s="30" t="n">
        <x:f>IFERROR(J609/I609,0)</x:f>
        <x:v>0.07423580786026202</x:v>
      </x:c>
      <x:c r="Q609" s="30" t="n">
        <x:f>IFERROR(K609/J609,0)</x:f>
        <x:v>0.47058823529411764</x:v>
      </x:c>
      <x:c r="R609" s="30" t="n">
        <x:f>IFERROR(L609/K609,0)</x:f>
        <x:v>0.625</x:v>
      </x:c>
      <x:c r="S609" s="28" t="n">
        <x:f>IFERROR(N609/J609,0)</x:f>
        <x:v>1437.9823529411765</x:v>
      </x:c>
      <x:c r="T609" s="28" t="n">
        <x:f>IFERROR(N609/K609,0)</x:f>
        <x:v>3055.7125</x:v>
      </x:c>
      <x:c r="U609" s="28" t="n">
        <x:f>IFERROR(N609/L609,0)</x:f>
        <x:v>4889.14</x:v>
      </x:c>
    </x:row>
    <x:row r="610">
      <x:c r="A610" t="n">
        <x:v>609</x:v>
      </x:c>
      <x:c r="B610" s="26" t="n">
        <x:v>46175</x:v>
      </x:c>
      <x:c r="C610" t="str">
        <x:v>CPO_Always_On</x:v>
      </x:c>
      <x:c r="D610" t="str">
        <x:v>Google Ads</x:v>
      </x:c>
      <x:c r="E610" t="str">
        <x:v>Premium</x:v>
      </x:c>
      <x:c r="F610" t="str">
        <x:v>Cuanza Sul</x:v>
      </x:c>
      <x:c r="G610" t="str">
        <x:v>Android</x:v>
      </x:c>
      <x:c r="H610" t="n">
        <x:v>14545</x:v>
      </x:c>
      <x:c r="I610" t="n">
        <x:v>461</x:v>
      </x:c>
      <x:c r="J610" t="n">
        <x:v>71</x:v>
      </x:c>
      <x:c r="K610" t="n">
        <x:v>50</x:v>
      </x:c>
      <x:c r="L610" t="n">
        <x:v>39</x:v>
      </x:c>
      <x:c r="M610" s="28" t="n">
        <x:v>210071816.97</x:v>
      </x:c>
      <x:c r="N610" s="28" t="n">
        <x:v>81621.26</x:v>
      </x:c>
      <x:c r="O610" s="30" t="n">
        <x:f>IFERROR(I610/H610,0)</x:f>
        <x:v>0.031694740460639394</x:v>
      </x:c>
      <x:c r="P610" s="30" t="n">
        <x:f>IFERROR(J610/I610,0)</x:f>
        <x:v>0.1540130151843818</x:v>
      </x:c>
      <x:c r="Q610" s="30" t="n">
        <x:f>IFERROR(K610/J610,0)</x:f>
        <x:v>0.704225352112676</x:v>
      </x:c>
      <x:c r="R610" s="30" t="n">
        <x:f>IFERROR(L610/K610,0)</x:f>
        <x:v>0.78</x:v>
      </x:c>
      <x:c r="S610" s="28" t="n">
        <x:f>IFERROR(N610/J610,0)</x:f>
        <x:v>1149.5952112676055</x:v>
      </x:c>
      <x:c r="T610" s="28" t="n">
        <x:f>IFERROR(N610/K610,0)</x:f>
        <x:v>1632.4252</x:v>
      </x:c>
      <x:c r="U610" s="28" t="n">
        <x:f>IFERROR(N610/L610,0)</x:f>
        <x:v>2092.8528205128205</x:v>
      </x:c>
    </x:row>
    <x:row r="611">
      <x:c r="A611" t="n">
        <x:v>610</x:v>
      </x:c>
      <x:c r="B611" s="26" t="n">
        <x:v>46175</x:v>
      </x:c>
      <x:c r="C611" t="str">
        <x:v>CPO_Digital_360</x:v>
      </x:c>
      <x:c r="D611" t="str">
        <x:v>SMS</x:v>
      </x:c>
      <x:c r="E611" t="str">
        <x:v>Pequeno Negócio</x:v>
      </x:c>
      <x:c r="F611" t="str">
        <x:v>Benguela</x:v>
      </x:c>
      <x:c r="G611" t="str">
        <x:v>Desktop</x:v>
      </x:c>
      <x:c r="H611" t="n">
        <x:v>2804</x:v>
      </x:c>
      <x:c r="I611" t="n">
        <x:v>233</x:v>
      </x:c>
      <x:c r="J611" t="n">
        <x:v>33</x:v>
      </x:c>
      <x:c r="K611" t="n">
        <x:v>13</x:v>
      </x:c>
      <x:c r="L611" t="n">
        <x:v>6</x:v>
      </x:c>
      <x:c r="M611" s="28" t="n">
        <x:v>16965474.12</x:v>
      </x:c>
      <x:c r="N611" s="28" t="n">
        <x:v>48235.85</x:v>
      </x:c>
      <x:c r="O611" s="30" t="n">
        <x:f>IFERROR(I611/H611,0)</x:f>
        <x:v>0.08309557774607704</x:v>
      </x:c>
      <x:c r="P611" s="30" t="n">
        <x:f>IFERROR(J611/I611,0)</x:f>
        <x:v>0.14163090128755365</x:v>
      </x:c>
      <x:c r="Q611" s="30" t="n">
        <x:f>IFERROR(K611/J611,0)</x:f>
        <x:v>0.3939393939393939</x:v>
      </x:c>
      <x:c r="R611" s="30" t="n">
        <x:f>IFERROR(L611/K611,0)</x:f>
        <x:v>0.46153846153846156</x:v>
      </x:c>
      <x:c r="S611" s="28" t="n">
        <x:f>IFERROR(N611/J611,0)</x:f>
        <x:v>1461.6924242424243</x:v>
      </x:c>
      <x:c r="T611" s="28" t="n">
        <x:f>IFERROR(N611/K611,0)</x:f>
        <x:v>3710.45</x:v>
      </x:c>
      <x:c r="U611" s="28" t="n">
        <x:f>IFERROR(N611/L611,0)</x:f>
        <x:v>8039.308333333333</x:v>
      </x:c>
    </x:row>
    <x:row r="612">
      <x:c r="A612" t="n">
        <x:v>611</x:v>
      </x:c>
      <x:c r="B612" s="26" t="n">
        <x:v>46176</x:v>
      </x:c>
      <x:c r="C612" t="str">
        <x:v>CPO_Salario</x:v>
      </x:c>
      <x:c r="D612" t="str">
        <x:v>Google Ads</x:v>
      </x:c>
      <x:c r="E612" t="str">
        <x:v>Jovem Profissional</x:v>
      </x:c>
      <x:c r="F612" t="str">
        <x:v>Luanda</x:v>
      </x:c>
      <x:c r="G612" t="str">
        <x:v>iOS</x:v>
      </x:c>
      <x:c r="H612" t="n">
        <x:v>25221</x:v>
      </x:c>
      <x:c r="I612" t="n">
        <x:v>858</x:v>
      </x:c>
      <x:c r="J612" t="n">
        <x:v>167</x:v>
      </x:c>
      <x:c r="K612" t="n">
        <x:v>95</x:v>
      </x:c>
      <x:c r="L612" t="n">
        <x:v>52</x:v>
      </x:c>
      <x:c r="M612" s="28" t="n">
        <x:v>67817601.64</x:v>
      </x:c>
      <x:c r="N612" s="28" t="n">
        <x:v>152722.2</x:v>
      </x:c>
      <x:c r="O612" s="30" t="n">
        <x:f>IFERROR(I612/H612,0)</x:f>
        <x:v>0.034019269656238846</x:v>
      </x:c>
      <x:c r="P612" s="30" t="n">
        <x:f>IFERROR(J612/I612,0)</x:f>
        <x:v>0.19463869463869463</x:v>
      </x:c>
      <x:c r="Q612" s="30" t="n">
        <x:f>IFERROR(K612/J612,0)</x:f>
        <x:v>0.5688622754491018</x:v>
      </x:c>
      <x:c r="R612" s="30" t="n">
        <x:f>IFERROR(L612/K612,0)</x:f>
        <x:v>0.5473684210526316</x:v>
      </x:c>
      <x:c r="S612" s="28" t="n">
        <x:f>IFERROR(N612/J612,0)</x:f>
        <x:v>914.5041916167665</x:v>
      </x:c>
      <x:c r="T612" s="28" t="n">
        <x:f>IFERROR(N612/K612,0)</x:f>
        <x:v>1607.602105263158</x:v>
      </x:c>
      <x:c r="U612" s="28" t="n">
        <x:f>IFERROR(N612/L612,0)</x:f>
        <x:v>2936.9653846153847</x:v>
      </x:c>
    </x:row>
    <x:row r="613">
      <x:c r="A613" t="n">
        <x:v>612</x:v>
      </x:c>
      <x:c r="B613" s="26" t="n">
        <x:v>46176</x:v>
      </x:c>
      <x:c r="C613" t="str">
        <x:v>CPO_Salario</x:v>
      </x:c>
      <x:c r="D613" t="str">
        <x:v>TikTok Ads</x:v>
      </x:c>
      <x:c r="E613" t="str">
        <x:v>Pequeno Negócio</x:v>
      </x:c>
      <x:c r="F613" t="str">
        <x:v>Huambo</x:v>
      </x:c>
      <x:c r="G613" t="str">
        <x:v>Android</x:v>
      </x:c>
      <x:c r="H613" t="n">
        <x:v>7270</x:v>
      </x:c>
      <x:c r="I613" t="n">
        <x:v>120</x:v>
      </x:c>
      <x:c r="J613" t="n">
        <x:v>9</x:v>
      </x:c>
      <x:c r="K613" t="n">
        <x:v>5</x:v>
      </x:c>
      <x:c r="L613" t="n">
        <x:v>3</x:v>
      </x:c>
      <x:c r="M613" s="28" t="n">
        <x:v>7894992.69</x:v>
      </x:c>
      <x:c r="N613" s="28" t="n">
        <x:v>19752.74</x:v>
      </x:c>
      <x:c r="O613" s="30" t="n">
        <x:f>IFERROR(I613/H613,0)</x:f>
        <x:v>0.016506189821182942</x:v>
      </x:c>
      <x:c r="P613" s="30" t="n">
        <x:f>IFERROR(J613/I613,0)</x:f>
        <x:v>0.075</x:v>
      </x:c>
      <x:c r="Q613" s="30" t="n">
        <x:f>IFERROR(K613/J613,0)</x:f>
        <x:v>0.5555555555555556</x:v>
      </x:c>
      <x:c r="R613" s="30" t="n">
        <x:f>IFERROR(L613/K613,0)</x:f>
        <x:v>0.6</x:v>
      </x:c>
      <x:c r="S613" s="28" t="n">
        <x:f>IFERROR(N613/J613,0)</x:f>
        <x:v>2194.7488888888893</x:v>
      </x:c>
      <x:c r="T613" s="28" t="n">
        <x:f>IFERROR(N613/K613,0)</x:f>
        <x:v>3950.5480000000002</x:v>
      </x:c>
      <x:c r="U613" s="28" t="n">
        <x:f>IFERROR(N613/L613,0)</x:f>
        <x:v>6584.246666666667</x:v>
      </x:c>
    </x:row>
    <x:row r="614">
      <x:c r="A614" t="n">
        <x:v>613</x:v>
      </x:c>
      <x:c r="B614" s="26" t="n">
        <x:v>46176</x:v>
      </x:c>
      <x:c r="C614" t="str">
        <x:v>CPO_Premium</x:v>
      </x:c>
      <x:c r="D614" t="str">
        <x:v>Meta Ads</x:v>
      </x:c>
      <x:c r="E614" t="str">
        <x:v>Assalariado</x:v>
      </x:c>
      <x:c r="F614" t="str">
        <x:v>Luanda</x:v>
      </x:c>
      <x:c r="G614" t="str">
        <x:v>Android</x:v>
      </x:c>
      <x:c r="H614" t="n">
        <x:v>6095</x:v>
      </x:c>
      <x:c r="I614" t="n">
        <x:v>72</x:v>
      </x:c>
      <x:c r="J614" t="n">
        <x:v>8</x:v>
      </x:c>
      <x:c r="K614" t="n">
        <x:v>5</x:v>
      </x:c>
      <x:c r="L614" t="n">
        <x:v>3</x:v>
      </x:c>
      <x:c r="M614" s="28" t="n">
        <x:v>6650780.58</x:v>
      </x:c>
      <x:c r="N614" s="28" t="n">
        <x:v>8709.75</x:v>
      </x:c>
      <x:c r="O614" s="30" t="n">
        <x:f>IFERROR(I614/H614,0)</x:f>
        <x:v>0.011812961443806398</x:v>
      </x:c>
      <x:c r="P614" s="30" t="n">
        <x:f>IFERROR(J614/I614,0)</x:f>
        <x:v>0.1111111111111111</x:v>
      </x:c>
      <x:c r="Q614" s="30" t="n">
        <x:f>IFERROR(K614/J614,0)</x:f>
        <x:v>0.625</x:v>
      </x:c>
      <x:c r="R614" s="30" t="n">
        <x:f>IFERROR(L614/K614,0)</x:f>
        <x:v>0.6</x:v>
      </x:c>
      <x:c r="S614" s="28" t="n">
        <x:f>IFERROR(N614/J614,0)</x:f>
        <x:v>1088.71875</x:v>
      </x:c>
      <x:c r="T614" s="28" t="n">
        <x:f>IFERROR(N614/K614,0)</x:f>
        <x:v>1741.95</x:v>
      </x:c>
      <x:c r="U614" s="28" t="n">
        <x:f>IFERROR(N614/L614,0)</x:f>
        <x:v>2903.25</x:v>
      </x:c>
    </x:row>
    <x:row r="615">
      <x:c r="A615" t="n">
        <x:v>614</x:v>
      </x:c>
      <x:c r="B615" s="26" t="n">
        <x:v>46177</x:v>
      </x:c>
      <x:c r="C615" t="str">
        <x:v>CPO_Acesso_Rapido</x:v>
      </x:c>
      <x:c r="D615" t="str">
        <x:v>E-mail</x:v>
      </x:c>
      <x:c r="E615" t="str">
        <x:v>Assalariado</x:v>
      </x:c>
      <x:c r="F615" t="str">
        <x:v>Luanda</x:v>
      </x:c>
      <x:c r="G615" t="str">
        <x:v>iOS</x:v>
      </x:c>
      <x:c r="H615" t="n">
        <x:v>5517</x:v>
      </x:c>
      <x:c r="I615" t="n">
        <x:v>271</x:v>
      </x:c>
      <x:c r="J615" t="n">
        <x:v>30</x:v>
      </x:c>
      <x:c r="K615" t="n">
        <x:v>21</x:v>
      </x:c>
      <x:c r="L615" t="n">
        <x:v>13</x:v>
      </x:c>
      <x:c r="M615" s="28" t="n">
        <x:v>28698440.09</x:v>
      </x:c>
      <x:c r="N615" s="28" t="n">
        <x:v>20031.91</x:v>
      </x:c>
      <x:c r="O615" s="30" t="n">
        <x:f>IFERROR(I615/H615,0)</x:f>
        <x:v>0.04912089903933297</x:v>
      </x:c>
      <x:c r="P615" s="30" t="n">
        <x:f>IFERROR(J615/I615,0)</x:f>
        <x:v>0.11070110701107011</x:v>
      </x:c>
      <x:c r="Q615" s="30" t="n">
        <x:f>IFERROR(K615/J615,0)</x:f>
        <x:v>0.7</x:v>
      </x:c>
      <x:c r="R615" s="30" t="n">
        <x:f>IFERROR(L615/K615,0)</x:f>
        <x:v>0.6190476190476191</x:v>
      </x:c>
      <x:c r="S615" s="28" t="n">
        <x:f>IFERROR(N615/J615,0)</x:f>
        <x:v>667.7303333333333</x:v>
      </x:c>
      <x:c r="T615" s="28" t="n">
        <x:f>IFERROR(N615/K615,0)</x:f>
        <x:v>953.9004761904762</x:v>
      </x:c>
      <x:c r="U615" s="28" t="n">
        <x:f>IFERROR(N615/L615,0)</x:f>
        <x:v>1540.9161538461537</x:v>
      </x:c>
    </x:row>
    <x:row r="616">
      <x:c r="A616" t="n">
        <x:v>615</x:v>
      </x:c>
      <x:c r="B616" s="26" t="n">
        <x:v>46177</x:v>
      </x:c>
      <x:c r="C616" t="str">
        <x:v>CPO_Digital_360</x:v>
      </x:c>
      <x:c r="D616" t="str">
        <x:v>BAI Directo/App</x:v>
      </x:c>
      <x:c r="E616" t="str">
        <x:v>Assalariado</x:v>
      </x:c>
      <x:c r="F616" t="str">
        <x:v>Luanda</x:v>
      </x:c>
      <x:c r="G616" t="str">
        <x:v>Android</x:v>
      </x:c>
      <x:c r="H616" t="n">
        <x:v>7149</x:v>
      </x:c>
      <x:c r="I616" t="n">
        <x:v>770</x:v>
      </x:c>
      <x:c r="J616" t="n">
        <x:v>175</x:v>
      </x:c>
      <x:c r="K616" t="n">
        <x:v>126</x:v>
      </x:c>
      <x:c r="L616" t="n">
        <x:v>74</x:v>
      </x:c>
      <x:c r="M616" s="28" t="n">
        <x:v>163901288.1</x:v>
      </x:c>
      <x:c r="N616" s="28" t="n">
        <x:v>67557.78</x:v>
      </x:c>
      <x:c r="O616" s="30" t="n">
        <x:f>IFERROR(I616/H616,0)</x:f>
        <x:v>0.10770737166037209</x:v>
      </x:c>
      <x:c r="P616" s="30" t="n">
        <x:f>IFERROR(J616/I616,0)</x:f>
        <x:v>0.22727272727272727</x:v>
      </x:c>
      <x:c r="Q616" s="30" t="n">
        <x:f>IFERROR(K616/J616,0)</x:f>
        <x:v>0.72</x:v>
      </x:c>
      <x:c r="R616" s="30" t="n">
        <x:f>IFERROR(L616/K616,0)</x:f>
        <x:v>0.5873015873015873</x:v>
      </x:c>
      <x:c r="S616" s="28" t="n">
        <x:f>IFERROR(N616/J616,0)</x:f>
        <x:v>386.04445714285714</x:v>
      </x:c>
      <x:c r="T616" s="28" t="n">
        <x:f>IFERROR(N616/K616,0)</x:f>
        <x:v>536.1728571428571</x:v>
      </x:c>
      <x:c r="U616" s="28" t="n">
        <x:f>IFERROR(N616/L616,0)</x:f>
        <x:v>912.9429729729729</x:v>
      </x:c>
    </x:row>
    <x:row r="617">
      <x:c r="A617" t="n">
        <x:v>616</x:v>
      </x:c>
      <x:c r="B617" s="26" t="n">
        <x:v>46177</x:v>
      </x:c>
      <x:c r="C617" t="str">
        <x:v>CPO_Digital_360</x:v>
      </x:c>
      <x:c r="D617" t="str">
        <x:v>E-mail</x:v>
      </x:c>
      <x:c r="E617" t="str">
        <x:v>Jovem Profissional</x:v>
      </x:c>
      <x:c r="F617" t="str">
        <x:v>Luanda</x:v>
      </x:c>
      <x:c r="G617" t="str">
        <x:v>Android</x:v>
      </x:c>
      <x:c r="H617" t="n">
        <x:v>1903</x:v>
      </x:c>
      <x:c r="I617" t="n">
        <x:v>111</x:v>
      </x:c>
      <x:c r="J617" t="n">
        <x:v>12</x:v>
      </x:c>
      <x:c r="K617" t="n">
        <x:v>4</x:v>
      </x:c>
      <x:c r="L617" t="n">
        <x:v>2</x:v>
      </x:c>
      <x:c r="M617" s="28" t="n">
        <x:v>2108848.57</x:v>
      </x:c>
      <x:c r="N617" s="28" t="n">
        <x:v>5835.12</x:v>
      </x:c>
      <x:c r="O617" s="30" t="n">
        <x:f>IFERROR(I617/H617,0)</x:f>
        <x:v>0.05832895428271151</x:v>
      </x:c>
      <x:c r="P617" s="30" t="n">
        <x:f>IFERROR(J617/I617,0)</x:f>
        <x:v>0.10810810810810811</x:v>
      </x:c>
      <x:c r="Q617" s="30" t="n">
        <x:f>IFERROR(K617/J617,0)</x:f>
        <x:v>0.3333333333333333</x:v>
      </x:c>
      <x:c r="R617" s="30" t="n">
        <x:f>IFERROR(L617/K617,0)</x:f>
        <x:v>0.5</x:v>
      </x:c>
      <x:c r="S617" s="28" t="n">
        <x:f>IFERROR(N617/J617,0)</x:f>
        <x:v>486.26</x:v>
      </x:c>
      <x:c r="T617" s="28" t="n">
        <x:f>IFERROR(N617/K617,0)</x:f>
        <x:v>1458.78</x:v>
      </x:c>
      <x:c r="U617" s="28" t="n">
        <x:f>IFERROR(N617/L617,0)</x:f>
        <x:v>2917.56</x:v>
      </x:c>
    </x:row>
    <x:row r="618">
      <x:c r="A618" t="n">
        <x:v>617</x:v>
      </x:c>
      <x:c r="B618" s="26" t="n">
        <x:v>46177</x:v>
      </x:c>
      <x:c r="C618" t="str">
        <x:v>CPO_Acesso_Rapido</x:v>
      </x:c>
      <x:c r="D618" t="str">
        <x:v>E-mail</x:v>
      </x:c>
      <x:c r="E618" t="str">
        <x:v>Funcionário Público</x:v>
      </x:c>
      <x:c r="F618" t="str">
        <x:v>Cuanza Sul</x:v>
      </x:c>
      <x:c r="G618" t="str">
        <x:v>Desktop</x:v>
      </x:c>
      <x:c r="H618" t="n">
        <x:v>9668</x:v>
      </x:c>
      <x:c r="I618" t="n">
        <x:v>761</x:v>
      </x:c>
      <x:c r="J618" t="n">
        <x:v>60</x:v>
      </x:c>
      <x:c r="K618" t="n">
        <x:v>47</x:v>
      </x:c>
      <x:c r="L618" t="n">
        <x:v>38</x:v>
      </x:c>
      <x:c r="M618" s="28" t="n">
        <x:v>65842990.58</x:v>
      </x:c>
      <x:c r="N618" s="28" t="n">
        <x:v>42626.55</x:v>
      </x:c>
      <x:c r="O618" s="30" t="n">
        <x:f>IFERROR(I618/H618,0)</x:f>
        <x:v>0.07871328092676873</x:v>
      </x:c>
      <x:c r="P618" s="30" t="n">
        <x:f>IFERROR(J618/I618,0)</x:f>
        <x:v>0.07884362680683311</x:v>
      </x:c>
      <x:c r="Q618" s="30" t="n">
        <x:f>IFERROR(K618/J618,0)</x:f>
        <x:v>0.7833333333333333</x:v>
      </x:c>
      <x:c r="R618" s="30" t="n">
        <x:f>IFERROR(L618/K618,0)</x:f>
        <x:v>0.8085106382978723</x:v>
      </x:c>
      <x:c r="S618" s="28" t="n">
        <x:f>IFERROR(N618/J618,0)</x:f>
        <x:v>710.4425</x:v>
      </x:c>
      <x:c r="T618" s="28" t="n">
        <x:f>IFERROR(N618/K618,0)</x:f>
        <x:v>906.9478723404256</x:v>
      </x:c>
      <x:c r="U618" s="28" t="n">
        <x:f>IFERROR(N618/L618,0)</x:f>
        <x:v>1121.7513157894737</x:v>
      </x:c>
    </x:row>
    <x:row r="619">
      <x:c r="A619" t="n">
        <x:v>618</x:v>
      </x:c>
      <x:c r="B619" s="26" t="n">
        <x:v>46177</x:v>
      </x:c>
      <x:c r="C619" t="str">
        <x:v>CPO_Fim_do_Mes</x:v>
      </x:c>
      <x:c r="D619" t="str">
        <x:v>E-mail</x:v>
      </x:c>
      <x:c r="E619" t="str">
        <x:v>Funcionário Público</x:v>
      </x:c>
      <x:c r="F619" t="str">
        <x:v>Uíge</x:v>
      </x:c>
      <x:c r="G619" t="str">
        <x:v>iOS</x:v>
      </x:c>
      <x:c r="H619" t="n">
        <x:v>11236</x:v>
      </x:c>
      <x:c r="I619" t="n">
        <x:v>488</x:v>
      </x:c>
      <x:c r="J619" t="n">
        <x:v>50</x:v>
      </x:c>
      <x:c r="K619" t="n">
        <x:v>34</x:v>
      </x:c>
      <x:c r="L619" t="n">
        <x:v>21</x:v>
      </x:c>
      <x:c r="M619" s="28" t="n">
        <x:v>38260097.09</x:v>
      </x:c>
      <x:c r="N619" s="28" t="n">
        <x:v>195032.46</x:v>
      </x:c>
      <x:c r="O619" s="30" t="n">
        <x:f>IFERROR(I619/H619,0)</x:f>
        <x:v>0.04343182627269491</x:v>
      </x:c>
      <x:c r="P619" s="30" t="n">
        <x:f>IFERROR(J619/I619,0)</x:f>
        <x:v>0.10245901639344263</x:v>
      </x:c>
      <x:c r="Q619" s="30" t="n">
        <x:f>IFERROR(K619/J619,0)</x:f>
        <x:v>0.68</x:v>
      </x:c>
      <x:c r="R619" s="30" t="n">
        <x:f>IFERROR(L619/K619,0)</x:f>
        <x:v>0.6176470588235294</x:v>
      </x:c>
      <x:c r="S619" s="28" t="n">
        <x:f>IFERROR(N619/J619,0)</x:f>
        <x:v>3900.6492</x:v>
      </x:c>
      <x:c r="T619" s="28" t="n">
        <x:f>IFERROR(N619/K619,0)</x:f>
        <x:v>5736.248823529411</x:v>
      </x:c>
      <x:c r="U619" s="28" t="n">
        <x:f>IFERROR(N619/L619,0)</x:f>
        <x:v>9287.26</x:v>
      </x:c>
    </x:row>
    <x:row r="620">
      <x:c r="A620" t="n">
        <x:v>619</x:v>
      </x:c>
      <x:c r="B620" s="26" t="n">
        <x:v>46178</x:v>
      </x:c>
      <x:c r="C620" t="str">
        <x:v>CPO_Salario</x:v>
      </x:c>
      <x:c r="D620" t="str">
        <x:v>Google Ads</x:v>
      </x:c>
      <x:c r="E620" t="str">
        <x:v>Assalariado</x:v>
      </x:c>
      <x:c r="F620" t="str">
        <x:v>Huíla</x:v>
      </x:c>
      <x:c r="G620" t="str">
        <x:v>iOS</x:v>
      </x:c>
      <x:c r="H620" t="n">
        <x:v>22939</x:v>
      </x:c>
      <x:c r="I620" t="n">
        <x:v>496</x:v>
      </x:c>
      <x:c r="J620" t="n">
        <x:v>75</x:v>
      </x:c>
      <x:c r="K620" t="n">
        <x:v>45</x:v>
      </x:c>
      <x:c r="L620" t="n">
        <x:v>28</x:v>
      </x:c>
      <x:c r="M620" s="28" t="n">
        <x:v>64600092.05</x:v>
      </x:c>
      <x:c r="N620" s="28" t="n">
        <x:v>58308.31</x:v>
      </x:c>
      <x:c r="O620" s="30" t="n">
        <x:f>IFERROR(I620/H620,0)</x:f>
        <x:v>0.021622564191987444</x:v>
      </x:c>
      <x:c r="P620" s="30" t="n">
        <x:f>IFERROR(J620/I620,0)</x:f>
        <x:v>0.15120967741935484</x:v>
      </x:c>
      <x:c r="Q620" s="30" t="n">
        <x:f>IFERROR(K620/J620,0)</x:f>
        <x:v>0.6</x:v>
      </x:c>
      <x:c r="R620" s="30" t="n">
        <x:f>IFERROR(L620/K620,0)</x:f>
        <x:v>0.6222222222222222</x:v>
      </x:c>
      <x:c r="S620" s="28" t="n">
        <x:f>IFERROR(N620/J620,0)</x:f>
        <x:v>777.4441333333333</x:v>
      </x:c>
      <x:c r="T620" s="28" t="n">
        <x:f>IFERROR(N620/K620,0)</x:f>
        <x:v>1295.7402222222222</x:v>
      </x:c>
      <x:c r="U620" s="28" t="n">
        <x:f>IFERROR(N620/L620,0)</x:f>
        <x:v>2082.4396428571426</x:v>
      </x:c>
    </x:row>
    <x:row r="621">
      <x:c r="A621" t="n">
        <x:v>620</x:v>
      </x:c>
      <x:c r="B621" s="26" t="n">
        <x:v>46178</x:v>
      </x:c>
      <x:c r="C621" t="str">
        <x:v>CPO_Salario</x:v>
      </x:c>
      <x:c r="D621" t="str">
        <x:v>Google Ads</x:v>
      </x:c>
      <x:c r="E621" t="str">
        <x:v>Premium</x:v>
      </x:c>
      <x:c r="F621" t="str">
        <x:v>Benguela</x:v>
      </x:c>
      <x:c r="G621" t="str">
        <x:v>Android</x:v>
      </x:c>
      <x:c r="H621" t="n">
        <x:v>6032</x:v>
      </x:c>
      <x:c r="I621" t="n">
        <x:v>220</x:v>
      </x:c>
      <x:c r="J621" t="n">
        <x:v>34</x:v>
      </x:c>
      <x:c r="K621" t="n">
        <x:v>27</x:v>
      </x:c>
      <x:c r="L621" t="n">
        <x:v>16</x:v>
      </x:c>
      <x:c r="M621" s="28" t="n">
        <x:v>87853581.4</x:v>
      </x:c>
      <x:c r="N621" s="28" t="n">
        <x:v>21539.26</x:v>
      </x:c>
      <x:c r="O621" s="30" t="n">
        <x:f>IFERROR(I621/H621,0)</x:f>
        <x:v>0.03647214854111406</x:v>
      </x:c>
      <x:c r="P621" s="30" t="n">
        <x:f>IFERROR(J621/I621,0)</x:f>
        <x:v>0.15454545454545454</x:v>
      </x:c>
      <x:c r="Q621" s="30" t="n">
        <x:f>IFERROR(K621/J621,0)</x:f>
        <x:v>0.7941176470588235</x:v>
      </x:c>
      <x:c r="R621" s="30" t="n">
        <x:f>IFERROR(L621/K621,0)</x:f>
        <x:v>0.5925925925925926</x:v>
      </x:c>
      <x:c r="S621" s="28" t="n">
        <x:f>IFERROR(N621/J621,0)</x:f>
        <x:v>633.5076470588235</x:v>
      </x:c>
      <x:c r="T621" s="28" t="n">
        <x:f>IFERROR(N621/K621,0)</x:f>
        <x:v>797.7503703703703</x:v>
      </x:c>
      <x:c r="U621" s="28" t="n">
        <x:f>IFERROR(N621/L621,0)</x:f>
        <x:v>1346.20375</x:v>
      </x:c>
    </x:row>
    <x:row r="622">
      <x:c r="A622" t="n">
        <x:v>621</x:v>
      </x:c>
      <x:c r="B622" s="26" t="n">
        <x:v>46178</x:v>
      </x:c>
      <x:c r="C622" t="str">
        <x:v>CPO_Digital_360</x:v>
      </x:c>
      <x:c r="D622" t="str">
        <x:v>E-mail</x:v>
      </x:c>
      <x:c r="E622" t="str">
        <x:v>Jovem Profissional</x:v>
      </x:c>
      <x:c r="F622" t="str">
        <x:v>Luanda</x:v>
      </x:c>
      <x:c r="G622" t="str">
        <x:v>Android</x:v>
      </x:c>
      <x:c r="H622" t="n">
        <x:v>10603</x:v>
      </x:c>
      <x:c r="I622" t="n">
        <x:v>463</x:v>
      </x:c>
      <x:c r="J622" t="n">
        <x:v>67</x:v>
      </x:c>
      <x:c r="K622" t="n">
        <x:v>28</x:v>
      </x:c>
      <x:c r="L622" t="n">
        <x:v>15</x:v>
      </x:c>
      <x:c r="M622" s="28" t="n">
        <x:v>18677678.63</x:v>
      </x:c>
      <x:c r="N622" s="28" t="n">
        <x:v>85553.55</x:v>
      </x:c>
      <x:c r="O622" s="30" t="n">
        <x:f>IFERROR(I622/H622,0)</x:f>
        <x:v>0.043666886730170704</x:v>
      </x:c>
      <x:c r="P622" s="30" t="n">
        <x:f>IFERROR(J622/I622,0)</x:f>
        <x:v>0.1447084233261339</x:v>
      </x:c>
      <x:c r="Q622" s="30" t="n">
        <x:f>IFERROR(K622/J622,0)</x:f>
        <x:v>0.417910447761194</x:v>
      </x:c>
      <x:c r="R622" s="30" t="n">
        <x:f>IFERROR(L622/K622,0)</x:f>
        <x:v>0.5357142857142857</x:v>
      </x:c>
      <x:c r="S622" s="28" t="n">
        <x:f>IFERROR(N622/J622,0)</x:f>
        <x:v>1276.918656716418</x:v>
      </x:c>
      <x:c r="T622" s="28" t="n">
        <x:f>IFERROR(N622/K622,0)</x:f>
        <x:v>3055.483928571429</x:v>
      </x:c>
      <x:c r="U622" s="28" t="n">
        <x:f>IFERROR(N622/L622,0)</x:f>
        <x:v>5703.570000000001</x:v>
      </x:c>
    </x:row>
    <x:row r="623">
      <x:c r="A623" t="n">
        <x:v>622</x:v>
      </x:c>
      <x:c r="B623" s="26" t="n">
        <x:v>46179</x:v>
      </x:c>
      <x:c r="C623" t="str">
        <x:v>CPO_Always_On</x:v>
      </x:c>
      <x:c r="D623" t="str">
        <x:v>Google Ads</x:v>
      </x:c>
      <x:c r="E623" t="str">
        <x:v>Funcionário Público</x:v>
      </x:c>
      <x:c r="F623" t="str">
        <x:v>Uíge</x:v>
      </x:c>
      <x:c r="G623" t="str">
        <x:v>Android</x:v>
      </x:c>
      <x:c r="H623" t="n">
        <x:v>9149</x:v>
      </x:c>
      <x:c r="I623" t="n">
        <x:v>267</x:v>
      </x:c>
      <x:c r="J623" t="n">
        <x:v>27</x:v>
      </x:c>
      <x:c r="K623" t="n">
        <x:v>18</x:v>
      </x:c>
      <x:c r="L623" t="n">
        <x:v>12</x:v>
      </x:c>
      <x:c r="M623" s="28" t="n">
        <x:v>23975246.4</x:v>
      </x:c>
      <x:c r="N623" s="28" t="n">
        <x:v>14044.26</x:v>
      </x:c>
      <x:c r="O623" s="30" t="n">
        <x:f>IFERROR(I623/H623,0)</x:f>
        <x:v>0.029183517324297737</x:v>
      </x:c>
      <x:c r="P623" s="30" t="n">
        <x:f>IFERROR(J623/I623,0)</x:f>
        <x:v>0.10112359550561797</x:v>
      </x:c>
      <x:c r="Q623" s="30" t="n">
        <x:f>IFERROR(K623/J623,0)</x:f>
        <x:v>0.6666666666666666</x:v>
      </x:c>
      <x:c r="R623" s="30" t="n">
        <x:f>IFERROR(L623/K623,0)</x:f>
        <x:v>0.6666666666666666</x:v>
      </x:c>
      <x:c r="S623" s="28" t="n">
        <x:f>IFERROR(N623/J623,0)</x:f>
        <x:v>520.1577777777778</x:v>
      </x:c>
      <x:c r="T623" s="28" t="n">
        <x:f>IFERROR(N623/K623,0)</x:f>
        <x:v>780.2366666666667</x:v>
      </x:c>
      <x:c r="U623" s="28" t="n">
        <x:f>IFERROR(N623/L623,0)</x:f>
        <x:v>1170.355</x:v>
      </x:c>
    </x:row>
    <x:row r="624">
      <x:c r="A624" t="n">
        <x:v>623</x:v>
      </x:c>
      <x:c r="B624" s="26" t="n">
        <x:v>46179</x:v>
      </x:c>
      <x:c r="C624" t="str">
        <x:v>CPO_Fim_do_Mes</x:v>
      </x:c>
      <x:c r="D624" t="str">
        <x:v>E-mail</x:v>
      </x:c>
      <x:c r="E624" t="str">
        <x:v>Pequeno Negócio</x:v>
      </x:c>
      <x:c r="F624" t="str">
        <x:v>Luanda</x:v>
      </x:c>
      <x:c r="G624" t="str">
        <x:v>Android</x:v>
      </x:c>
      <x:c r="H624" t="n">
        <x:v>2767</x:v>
      </x:c>
      <x:c r="I624" t="n">
        <x:v>143</x:v>
      </x:c>
      <x:c r="J624" t="n">
        <x:v>10</x:v>
      </x:c>
      <x:c r="K624" t="n">
        <x:v>4</x:v>
      </x:c>
      <x:c r="L624" t="n">
        <x:v>3</x:v>
      </x:c>
      <x:c r="M624" s="28" t="n">
        <x:v>8011214.49</x:v>
      </x:c>
      <x:c r="N624" s="28" t="n">
        <x:v>22243.46</x:v>
      </x:c>
      <x:c r="O624" s="30" t="n">
        <x:f>IFERROR(I624/H624,0)</x:f>
        <x:v>0.0516805204192266</x:v>
      </x:c>
      <x:c r="P624" s="30" t="n">
        <x:f>IFERROR(J624/I624,0)</x:f>
        <x:v>0.06993006993006994</x:v>
      </x:c>
      <x:c r="Q624" s="30" t="n">
        <x:f>IFERROR(K624/J624,0)</x:f>
        <x:v>0.4</x:v>
      </x:c>
      <x:c r="R624" s="30" t="n">
        <x:f>IFERROR(L624/K624,0)</x:f>
        <x:v>0.75</x:v>
      </x:c>
      <x:c r="S624" s="28" t="n">
        <x:f>IFERROR(N624/J624,0)</x:f>
        <x:v>2224.346</x:v>
      </x:c>
      <x:c r="T624" s="28" t="n">
        <x:f>IFERROR(N624/K624,0)</x:f>
        <x:v>5560.865</x:v>
      </x:c>
      <x:c r="U624" s="28" t="n">
        <x:f>IFERROR(N624/L624,0)</x:f>
        <x:v>7414.486666666667</x:v>
      </x:c>
    </x:row>
    <x:row r="625">
      <x:c r="A625" t="n">
        <x:v>624</x:v>
      </x:c>
      <x:c r="B625" s="26" t="n">
        <x:v>46179</x:v>
      </x:c>
      <x:c r="C625" t="str">
        <x:v>CPO_Fim_do_Mes</x:v>
      </x:c>
      <x:c r="D625" t="str">
        <x:v>TikTok Ads</x:v>
      </x:c>
      <x:c r="E625" t="str">
        <x:v>Assalariado</x:v>
      </x:c>
      <x:c r="F625" t="str">
        <x:v>Luanda</x:v>
      </x:c>
      <x:c r="G625" t="str">
        <x:v>Desktop</x:v>
      </x:c>
      <x:c r="H625" t="n">
        <x:v>27272</x:v>
      </x:c>
      <x:c r="I625" t="n">
        <x:v>237</x:v>
      </x:c>
      <x:c r="J625" t="n">
        <x:v>21</x:v>
      </x:c>
      <x:c r="K625" t="n">
        <x:v>16</x:v>
      </x:c>
      <x:c r="L625" t="n">
        <x:v>10</x:v>
      </x:c>
      <x:c r="M625" s="28" t="n">
        <x:v>22072768</x:v>
      </x:c>
      <x:c r="N625" s="28" t="n">
        <x:v>38527.27</x:v>
      </x:c>
      <x:c r="O625" s="30" t="n">
        <x:f>IFERROR(I625/H625,0)</x:f>
        <x:v>0.008690231739513053</x:v>
      </x:c>
      <x:c r="P625" s="30" t="n">
        <x:f>IFERROR(J625/I625,0)</x:f>
        <x:v>0.08860759493670886</x:v>
      </x:c>
      <x:c r="Q625" s="30" t="n">
        <x:f>IFERROR(K625/J625,0)</x:f>
        <x:v>0.7619047619047619</x:v>
      </x:c>
      <x:c r="R625" s="30" t="n">
        <x:f>IFERROR(L625/K625,0)</x:f>
        <x:v>0.625</x:v>
      </x:c>
      <x:c r="S625" s="28" t="n">
        <x:f>IFERROR(N625/J625,0)</x:f>
        <x:v>1834.6319047619047</x:v>
      </x:c>
      <x:c r="T625" s="28" t="n">
        <x:f>IFERROR(N625/K625,0)</x:f>
        <x:v>2407.954375</x:v>
      </x:c>
      <x:c r="U625" s="28" t="n">
        <x:f>IFERROR(N625/L625,0)</x:f>
        <x:v>3852.727</x:v>
      </x:c>
    </x:row>
    <x:row r="626">
      <x:c r="A626" t="n">
        <x:v>625</x:v>
      </x:c>
      <x:c r="B626" s="26" t="n">
        <x:v>46180</x:v>
      </x:c>
      <x:c r="C626" t="str">
        <x:v>CPO_Fim_do_Mes</x:v>
      </x:c>
      <x:c r="D626" t="str">
        <x:v>Google Ads</x:v>
      </x:c>
      <x:c r="E626" t="str">
        <x:v>Funcionário Público</x:v>
      </x:c>
      <x:c r="F626" t="str">
        <x:v>Benguela</x:v>
      </x:c>
      <x:c r="G626" t="str">
        <x:v>Android</x:v>
      </x:c>
      <x:c r="H626" t="n">
        <x:v>12431</x:v>
      </x:c>
      <x:c r="I626" t="n">
        <x:v>306</x:v>
      </x:c>
      <x:c r="J626" t="n">
        <x:v>52</x:v>
      </x:c>
      <x:c r="K626" t="n">
        <x:v>29</x:v>
      </x:c>
      <x:c r="L626" t="n">
        <x:v>25</x:v>
      </x:c>
      <x:c r="M626" s="28" t="n">
        <x:v>45237514.56</x:v>
      </x:c>
      <x:c r="N626" s="28" t="n">
        <x:v>40676.15</x:v>
      </x:c>
      <x:c r="O626" s="30" t="n">
        <x:f>IFERROR(I626/H626,0)</x:f>
        <x:v>0.02461587965569946</x:v>
      </x:c>
      <x:c r="P626" s="30" t="n">
        <x:f>IFERROR(J626/I626,0)</x:f>
        <x:v>0.16993464052287582</x:v>
      </x:c>
      <x:c r="Q626" s="30" t="n">
        <x:f>IFERROR(K626/J626,0)</x:f>
        <x:v>0.5576923076923077</x:v>
      </x:c>
      <x:c r="R626" s="30" t="n">
        <x:f>IFERROR(L626/K626,0)</x:f>
        <x:v>0.8620689655172413</x:v>
      </x:c>
      <x:c r="S626" s="28" t="n">
        <x:f>IFERROR(N626/J626,0)</x:f>
        <x:v>782.2336538461539</x:v>
      </x:c>
      <x:c r="T626" s="28" t="n">
        <x:f>IFERROR(N626/K626,0)</x:f>
        <x:v>1402.6258620689655</x:v>
      </x:c>
      <x:c r="U626" s="28" t="n">
        <x:f>IFERROR(N626/L626,0)</x:f>
        <x:v>1627.046</x:v>
      </x:c>
    </x:row>
    <x:row r="627">
      <x:c r="A627" t="n">
        <x:v>626</x:v>
      </x:c>
      <x:c r="B627" s="26" t="n">
        <x:v>46180</x:v>
      </x:c>
      <x:c r="C627" t="str">
        <x:v>CPO_Acesso_Rapido</x:v>
      </x:c>
      <x:c r="D627" t="str">
        <x:v>SMS</x:v>
      </x:c>
      <x:c r="E627" t="str">
        <x:v>Funcionário Público</x:v>
      </x:c>
      <x:c r="F627" t="str">
        <x:v>Huambo</x:v>
      </x:c>
      <x:c r="G627" t="str">
        <x:v>Android</x:v>
      </x:c>
      <x:c r="H627" t="n">
        <x:v>2601</x:v>
      </x:c>
      <x:c r="I627" t="n">
        <x:v>175</x:v>
      </x:c>
      <x:c r="J627" t="n">
        <x:v>25</x:v>
      </x:c>
      <x:c r="K627" t="n">
        <x:v>14</x:v>
      </x:c>
      <x:c r="L627" t="n">
        <x:v>10</x:v>
      </x:c>
      <x:c r="M627" s="28" t="n">
        <x:v>17269682.89</x:v>
      </x:c>
      <x:c r="N627" s="28" t="n">
        <x:v>33740.22</x:v>
      </x:c>
      <x:c r="O627" s="30" t="n">
        <x:f>IFERROR(I627/H627,0)</x:f>
        <x:v>0.06728181468665898</x:v>
      </x:c>
      <x:c r="P627" s="30" t="n">
        <x:f>IFERROR(J627/I627,0)</x:f>
        <x:v>0.14285714285714285</x:v>
      </x:c>
      <x:c r="Q627" s="30" t="n">
        <x:f>IFERROR(K627/J627,0)</x:f>
        <x:v>0.56</x:v>
      </x:c>
      <x:c r="R627" s="30" t="n">
        <x:f>IFERROR(L627/K627,0)</x:f>
        <x:v>0.7142857142857143</x:v>
      </x:c>
      <x:c r="S627" s="28" t="n">
        <x:f>IFERROR(N627/J627,0)</x:f>
        <x:v>1349.6088</x:v>
      </x:c>
      <x:c r="T627" s="28" t="n">
        <x:f>IFERROR(N627/K627,0)</x:f>
        <x:v>2410.0157142857142</x:v>
      </x:c>
      <x:c r="U627" s="28" t="n">
        <x:f>IFERROR(N627/L627,0)</x:f>
        <x:v>3374.022</x:v>
      </x:c>
    </x:row>
    <x:row r="628">
      <x:c r="A628" t="n">
        <x:v>627</x:v>
      </x:c>
      <x:c r="B628" s="26" t="n">
        <x:v>46180</x:v>
      </x:c>
      <x:c r="C628" t="str">
        <x:v>CPO_Always_On</x:v>
      </x:c>
      <x:c r="D628" t="str">
        <x:v>TikTok Ads</x:v>
      </x:c>
      <x:c r="E628" t="str">
        <x:v>Assalariado</x:v>
      </x:c>
      <x:c r="F628" t="str">
        <x:v>Luanda</x:v>
      </x:c>
      <x:c r="G628" t="str">
        <x:v>iOS</x:v>
      </x:c>
      <x:c r="H628" t="n">
        <x:v>7790</x:v>
      </x:c>
      <x:c r="I628" t="n">
        <x:v>92</x:v>
      </x:c>
      <x:c r="J628" t="n">
        <x:v>8</x:v>
      </x:c>
      <x:c r="K628" t="n">
        <x:v>5</x:v>
      </x:c>
      <x:c r="L628" t="n">
        <x:v>3</x:v>
      </x:c>
      <x:c r="M628" s="28" t="n">
        <x:v>6631998.55</x:v>
      </x:c>
      <x:c r="N628" s="28" t="n">
        <x:v>11742.15</x:v>
      </x:c>
      <x:c r="O628" s="30" t="n">
        <x:f>IFERROR(I628/H628,0)</x:f>
        <x:v>0.011810012836970476</x:v>
      </x:c>
      <x:c r="P628" s="30" t="n">
        <x:f>IFERROR(J628/I628,0)</x:f>
        <x:v>0.08695652173913043</x:v>
      </x:c>
      <x:c r="Q628" s="30" t="n">
        <x:f>IFERROR(K628/J628,0)</x:f>
        <x:v>0.625</x:v>
      </x:c>
      <x:c r="R628" s="30" t="n">
        <x:f>IFERROR(L628/K628,0)</x:f>
        <x:v>0.6</x:v>
      </x:c>
      <x:c r="S628" s="28" t="n">
        <x:f>IFERROR(N628/J628,0)</x:f>
        <x:v>1467.76875</x:v>
      </x:c>
      <x:c r="T628" s="28" t="n">
        <x:f>IFERROR(N628/K628,0)</x:f>
        <x:v>2348.43</x:v>
      </x:c>
      <x:c r="U628" s="28" t="n">
        <x:f>IFERROR(N628/L628,0)</x:f>
        <x:v>3914.0499999999997</x:v>
      </x:c>
    </x:row>
    <x:row r="629">
      <x:c r="A629" t="n">
        <x:v>628</x:v>
      </x:c>
      <x:c r="B629" s="26" t="n">
        <x:v>46181</x:v>
      </x:c>
      <x:c r="C629" t="str">
        <x:v>CPO_Premium</x:v>
      </x:c>
      <x:c r="D629" t="str">
        <x:v>Google Ads</x:v>
      </x:c>
      <x:c r="E629" t="str">
        <x:v>Funcionário Público</x:v>
      </x:c>
      <x:c r="F629" t="str">
        <x:v>Huíla</x:v>
      </x:c>
      <x:c r="G629" t="str">
        <x:v>Android</x:v>
      </x:c>
      <x:c r="H629" t="n">
        <x:v>13145</x:v>
      </x:c>
      <x:c r="I629" t="n">
        <x:v>313</x:v>
      </x:c>
      <x:c r="J629" t="n">
        <x:v>56</x:v>
      </x:c>
      <x:c r="K629" t="n">
        <x:v>44</x:v>
      </x:c>
      <x:c r="L629" t="n">
        <x:v>27</x:v>
      </x:c>
      <x:c r="M629" s="28" t="n">
        <x:v>42664221.14</x:v>
      </x:c>
      <x:c r="N629" s="28" t="n">
        <x:v>49176.99</x:v>
      </x:c>
      <x:c r="O629" s="30" t="n">
        <x:f>IFERROR(I629/H629,0)</x:f>
        <x:v>0.02381133510840624</x:v>
      </x:c>
      <x:c r="P629" s="30" t="n">
        <x:f>IFERROR(J629/I629,0)</x:f>
        <x:v>0.17891373801916932</x:v>
      </x:c>
      <x:c r="Q629" s="30" t="n">
        <x:f>IFERROR(K629/J629,0)</x:f>
        <x:v>0.7857142857142857</x:v>
      </x:c>
      <x:c r="R629" s="30" t="n">
        <x:f>IFERROR(L629/K629,0)</x:f>
        <x:v>0.6136363636363636</x:v>
      </x:c>
      <x:c r="S629" s="28" t="n">
        <x:f>IFERROR(N629/J629,0)</x:f>
        <x:v>878.1605357142856</x:v>
      </x:c>
      <x:c r="T629" s="28" t="n">
        <x:f>IFERROR(N629/K629,0)</x:f>
        <x:v>1117.6588636363635</x:v>
      </x:c>
      <x:c r="U629" s="28" t="n">
        <x:f>IFERROR(N629/L629,0)</x:f>
        <x:v>1821.37</x:v>
      </x:c>
    </x:row>
    <x:row r="630">
      <x:c r="A630" t="n">
        <x:v>629</x:v>
      </x:c>
      <x:c r="B630" s="26" t="n">
        <x:v>46181</x:v>
      </x:c>
      <x:c r="C630" t="str">
        <x:v>CPO_Salario</x:v>
      </x:c>
      <x:c r="D630" t="str">
        <x:v>Meta Ads</x:v>
      </x:c>
      <x:c r="E630" t="str">
        <x:v>Funcionário Público</x:v>
      </x:c>
      <x:c r="F630" t="str">
        <x:v>Luanda</x:v>
      </x:c>
      <x:c r="G630" t="str">
        <x:v>Android</x:v>
      </x:c>
      <x:c r="H630" t="n">
        <x:v>21232</x:v>
      </x:c>
      <x:c r="I630" t="n">
        <x:v>553</x:v>
      </x:c>
      <x:c r="J630" t="n">
        <x:v>70</x:v>
      </x:c>
      <x:c r="K630" t="n">
        <x:v>39</x:v>
      </x:c>
      <x:c r="L630" t="n">
        <x:v>23</x:v>
      </x:c>
      <x:c r="M630" s="28" t="n">
        <x:v>38850596.03</x:v>
      </x:c>
      <x:c r="N630" s="28" t="n">
        <x:v>76408.71</x:v>
      </x:c>
      <x:c r="O630" s="30" t="n">
        <x:f>IFERROR(I630/H630,0)</x:f>
        <x:v>0.02604559155990957</x:v>
      </x:c>
      <x:c r="P630" s="30" t="n">
        <x:f>IFERROR(J630/I630,0)</x:f>
        <x:v>0.12658227848101267</x:v>
      </x:c>
      <x:c r="Q630" s="30" t="n">
        <x:f>IFERROR(K630/J630,0)</x:f>
        <x:v>0.5571428571428572</x:v>
      </x:c>
      <x:c r="R630" s="30" t="n">
        <x:f>IFERROR(L630/K630,0)</x:f>
        <x:v>0.5897435897435898</x:v>
      </x:c>
      <x:c r="S630" s="28" t="n">
        <x:f>IFERROR(N630/J630,0)</x:f>
        <x:v>1091.553</x:v>
      </x:c>
      <x:c r="T630" s="28" t="n">
        <x:f>IFERROR(N630/K630,0)</x:f>
        <x:v>1959.1976923076925</x:v>
      </x:c>
      <x:c r="U630" s="28" t="n">
        <x:f>IFERROR(N630/L630,0)</x:f>
        <x:v>3322.117826086957</x:v>
      </x:c>
    </x:row>
    <x:row r="631">
      <x:c r="A631" t="n">
        <x:v>630</x:v>
      </x:c>
      <x:c r="B631" s="26" t="n">
        <x:v>46181</x:v>
      </x:c>
      <x:c r="C631" t="str">
        <x:v>CPO_Always_On</x:v>
      </x:c>
      <x:c r="D631" t="str">
        <x:v>Google Ads</x:v>
      </x:c>
      <x:c r="E631" t="str">
        <x:v>Pequeno Negócio</x:v>
      </x:c>
      <x:c r="F631" t="str">
        <x:v>Luanda</x:v>
      </x:c>
      <x:c r="G631" t="str">
        <x:v>Android</x:v>
      </x:c>
      <x:c r="H631" t="n">
        <x:v>7412</x:v>
      </x:c>
      <x:c r="I631" t="n">
        <x:v>226</x:v>
      </x:c>
      <x:c r="J631" t="n">
        <x:v>36</x:v>
      </x:c>
      <x:c r="K631" t="n">
        <x:v>16</x:v>
      </x:c>
      <x:c r="L631" t="n">
        <x:v>7</x:v>
      </x:c>
      <x:c r="M631" s="28" t="n">
        <x:v>22447455.76</x:v>
      </x:c>
      <x:c r="N631" s="28" t="n">
        <x:v>29855.82</x:v>
      </x:c>
      <x:c r="O631" s="30" t="n">
        <x:f>IFERROR(I631/H631,0)</x:f>
        <x:v>0.03049109552077712</x:v>
      </x:c>
      <x:c r="P631" s="30" t="n">
        <x:f>IFERROR(J631/I631,0)</x:f>
        <x:v>0.1592920353982301</x:v>
      </x:c>
      <x:c r="Q631" s="30" t="n">
        <x:f>IFERROR(K631/J631,0)</x:f>
        <x:v>0.4444444444444444</x:v>
      </x:c>
      <x:c r="R631" s="30" t="n">
        <x:f>IFERROR(L631/K631,0)</x:f>
        <x:v>0.4375</x:v>
      </x:c>
      <x:c r="S631" s="28" t="n">
        <x:f>IFERROR(N631/J631,0)</x:f>
        <x:v>829.3283333333334</x:v>
      </x:c>
      <x:c r="T631" s="28" t="n">
        <x:f>IFERROR(N631/K631,0)</x:f>
        <x:v>1865.98875</x:v>
      </x:c>
      <x:c r="U631" s="28" t="n">
        <x:f>IFERROR(N631/L631,0)</x:f>
        <x:v>4265.117142857142</x:v>
      </x:c>
    </x:row>
    <x:row r="632">
      <x:c r="A632" t="n">
        <x:v>631</x:v>
      </x:c>
      <x:c r="B632" s="26" t="n">
        <x:v>46181</x:v>
      </x:c>
      <x:c r="C632" t="str">
        <x:v>CPO_Premium</x:v>
      </x:c>
      <x:c r="D632" t="str">
        <x:v>Google Ads</x:v>
      </x:c>
      <x:c r="E632" t="str">
        <x:v>Jovem Profissional</x:v>
      </x:c>
      <x:c r="F632" t="str">
        <x:v>Luanda</x:v>
      </x:c>
      <x:c r="G632" t="str">
        <x:v>Desktop</x:v>
      </x:c>
      <x:c r="H632" t="n">
        <x:v>22315</x:v>
      </x:c>
      <x:c r="I632" t="n">
        <x:v>710</x:v>
      </x:c>
      <x:c r="J632" t="n">
        <x:v>124</x:v>
      </x:c>
      <x:c r="K632" t="n">
        <x:v>59</x:v>
      </x:c>
      <x:c r="L632" t="n">
        <x:v>32</x:v>
      </x:c>
      <x:c r="M632" s="28" t="n">
        <x:v>40064761.8</x:v>
      </x:c>
      <x:c r="N632" s="28" t="n">
        <x:v>71115.21</x:v>
      </x:c>
      <x:c r="O632" s="30" t="n">
        <x:f>IFERROR(I632/H632,0)</x:f>
        <x:v>0.0318171633430428</x:v>
      </x:c>
      <x:c r="P632" s="30" t="n">
        <x:f>IFERROR(J632/I632,0)</x:f>
        <x:v>0.17464788732394365</x:v>
      </x:c>
      <x:c r="Q632" s="30" t="n">
        <x:f>IFERROR(K632/J632,0)</x:f>
        <x:v>0.47580645161290325</x:v>
      </x:c>
      <x:c r="R632" s="30" t="n">
        <x:f>IFERROR(L632/K632,0)</x:f>
        <x:v>0.5423728813559322</x:v>
      </x:c>
      <x:c r="S632" s="28" t="n">
        <x:f>IFERROR(N632/J632,0)</x:f>
        <x:v>573.5097580645162</x:v>
      </x:c>
      <x:c r="T632" s="28" t="n">
        <x:f>IFERROR(N632/K632,0)</x:f>
        <x:v>1205.3425423728816</x:v>
      </x:c>
      <x:c r="U632" s="28" t="n">
        <x:f>IFERROR(N632/L632,0)</x:f>
        <x:v>2222.3503125</x:v>
      </x:c>
    </x:row>
    <x:row r="633">
      <x:c r="A633" t="n">
        <x:v>632</x:v>
      </x:c>
      <x:c r="B633" s="26" t="n">
        <x:v>46181</x:v>
      </x:c>
      <x:c r="C633" t="str">
        <x:v>CPO_Digital_360</x:v>
      </x:c>
      <x:c r="D633" t="str">
        <x:v>SMS</x:v>
      </x:c>
      <x:c r="E633" t="str">
        <x:v>Jovem Profissional</x:v>
      </x:c>
      <x:c r="F633" t="str">
        <x:v>Luanda</x:v>
      </x:c>
      <x:c r="G633" t="str">
        <x:v>Android</x:v>
      </x:c>
      <x:c r="H633" t="n">
        <x:v>4485</x:v>
      </x:c>
      <x:c r="I633" t="n">
        <x:v>378</x:v>
      </x:c>
      <x:c r="J633" t="n">
        <x:v>63</x:v>
      </x:c>
      <x:c r="K633" t="n">
        <x:v>33</x:v>
      </x:c>
      <x:c r="L633" t="n">
        <x:v>23</x:v>
      </x:c>
      <x:c r="M633" s="28" t="n">
        <x:v>23162823.83</x:v>
      </x:c>
      <x:c r="N633" s="28" t="n">
        <x:v>15426.06</x:v>
      </x:c>
      <x:c r="O633" s="30" t="n">
        <x:f>IFERROR(I633/H633,0)</x:f>
        <x:v>0.08428093645484949</x:v>
      </x:c>
      <x:c r="P633" s="30" t="n">
        <x:f>IFERROR(J633/I633,0)</x:f>
        <x:v>0.16666666666666666</x:v>
      </x:c>
      <x:c r="Q633" s="30" t="n">
        <x:f>IFERROR(K633/J633,0)</x:f>
        <x:v>0.5238095238095238</x:v>
      </x:c>
      <x:c r="R633" s="30" t="n">
        <x:f>IFERROR(L633/K633,0)</x:f>
        <x:v>0.696969696969697</x:v>
      </x:c>
      <x:c r="S633" s="28" t="n">
        <x:f>IFERROR(N633/J633,0)</x:f>
        <x:v>244.85809523809522</x:v>
      </x:c>
      <x:c r="T633" s="28" t="n">
        <x:f>IFERROR(N633/K633,0)</x:f>
        <x:v>467.4563636363636</x:v>
      </x:c>
      <x:c r="U633" s="28" t="n">
        <x:f>IFERROR(N633/L633,0)</x:f>
        <x:v>670.6982608695652</x:v>
      </x:c>
    </x:row>
    <x:row r="634">
      <x:c r="A634" t="n">
        <x:v>633</x:v>
      </x:c>
      <x:c r="B634" s="26" t="n">
        <x:v>46182</x:v>
      </x:c>
      <x:c r="C634" t="str">
        <x:v>CPO_Fim_do_Mes</x:v>
      </x:c>
      <x:c r="D634" t="str">
        <x:v>SMS</x:v>
      </x:c>
      <x:c r="E634" t="str">
        <x:v>Funcionário Público</x:v>
      </x:c>
      <x:c r="F634" t="str">
        <x:v>Luanda</x:v>
      </x:c>
      <x:c r="G634" t="str">
        <x:v>Android</x:v>
      </x:c>
      <x:c r="H634" t="n">
        <x:v>10877</x:v>
      </x:c>
      <x:c r="I634" t="n">
        <x:v>908</x:v>
      </x:c>
      <x:c r="J634" t="n">
        <x:v>115</x:v>
      </x:c>
      <x:c r="K634" t="n">
        <x:v>85</x:v>
      </x:c>
      <x:c r="L634" t="n">
        <x:v>65</x:v>
      </x:c>
      <x:c r="M634" s="28" t="n">
        <x:v>111058418.66</x:v>
      </x:c>
      <x:c r="N634" s="28" t="n">
        <x:v>155094.62</x:v>
      </x:c>
      <x:c r="O634" s="30" t="n">
        <x:f>IFERROR(I634/H634,0)</x:f>
        <x:v>0.08347890043210444</x:v>
      </x:c>
      <x:c r="P634" s="30" t="n">
        <x:f>IFERROR(J634/I634,0)</x:f>
        <x:v>0.12665198237885464</x:v>
      </x:c>
      <x:c r="Q634" s="30" t="n">
        <x:f>IFERROR(K634/J634,0)</x:f>
        <x:v>0.7391304347826086</x:v>
      </x:c>
      <x:c r="R634" s="30" t="n">
        <x:f>IFERROR(L634/K634,0)</x:f>
        <x:v>0.7647058823529411</x:v>
      </x:c>
      <x:c r="S634" s="28" t="n">
        <x:f>IFERROR(N634/J634,0)</x:f>
        <x:v>1348.6488695652174</x:v>
      </x:c>
      <x:c r="T634" s="28" t="n">
        <x:f>IFERROR(N634/K634,0)</x:f>
        <x:v>1824.6425882352942</x:v>
      </x:c>
      <x:c r="U634" s="28" t="n">
        <x:f>IFERROR(N634/L634,0)</x:f>
        <x:v>2386.071076923077</x:v>
      </x:c>
    </x:row>
    <x:row r="635">
      <x:c r="A635" t="n">
        <x:v>634</x:v>
      </x:c>
      <x:c r="B635" s="26" t="n">
        <x:v>46182</x:v>
      </x:c>
      <x:c r="C635" t="str">
        <x:v>CPO_Always_On</x:v>
      </x:c>
      <x:c r="D635" t="str">
        <x:v>E-mail</x:v>
      </x:c>
      <x:c r="E635" t="str">
        <x:v>Premium</x:v>
      </x:c>
      <x:c r="F635" t="str">
        <x:v>Luanda</x:v>
      </x:c>
      <x:c r="G635" t="str">
        <x:v>iOS</x:v>
      </x:c>
      <x:c r="H635" t="n">
        <x:v>2547</x:v>
      </x:c>
      <x:c r="I635" t="n">
        <x:v>157</x:v>
      </x:c>
      <x:c r="J635" t="n">
        <x:v>17</x:v>
      </x:c>
      <x:c r="K635" t="n">
        <x:v>12</x:v>
      </x:c>
      <x:c r="L635" t="n">
        <x:v>9</x:v>
      </x:c>
      <x:c r="M635" s="28" t="n">
        <x:v>49035080.17</x:v>
      </x:c>
      <x:c r="N635" s="28" t="n">
        <x:v>20781.46</x:v>
      </x:c>
      <x:c r="O635" s="30" t="n">
        <x:f>IFERROR(I635/H635,0)</x:f>
        <x:v>0.06164114644680016</x:v>
      </x:c>
      <x:c r="P635" s="30" t="n">
        <x:f>IFERROR(J635/I635,0)</x:f>
        <x:v>0.10828025477707007</x:v>
      </x:c>
      <x:c r="Q635" s="30" t="n">
        <x:f>IFERROR(K635/J635,0)</x:f>
        <x:v>0.7058823529411765</x:v>
      </x:c>
      <x:c r="R635" s="30" t="n">
        <x:f>IFERROR(L635/K635,0)</x:f>
        <x:v>0.75</x:v>
      </x:c>
      <x:c r="S635" s="28" t="n">
        <x:f>IFERROR(N635/J635,0)</x:f>
        <x:v>1222.4388235294118</x:v>
      </x:c>
      <x:c r="T635" s="28" t="n">
        <x:f>IFERROR(N635/K635,0)</x:f>
        <x:v>1731.7883333333332</x:v>
      </x:c>
      <x:c r="U635" s="28" t="n">
        <x:f>IFERROR(N635/L635,0)</x:f>
        <x:v>2309.051111111111</x:v>
      </x:c>
    </x:row>
    <x:row r="636">
      <x:c r="A636" t="n">
        <x:v>635</x:v>
      </x:c>
      <x:c r="B636" s="26" t="n">
        <x:v>46182</x:v>
      </x:c>
      <x:c r="C636" t="str">
        <x:v>CPO_Fim_do_Mes</x:v>
      </x:c>
      <x:c r="D636" t="str">
        <x:v>BAI Directo/App</x:v>
      </x:c>
      <x:c r="E636" t="str">
        <x:v>Assalariado</x:v>
      </x:c>
      <x:c r="F636" t="str">
        <x:v>Benguela</x:v>
      </x:c>
      <x:c r="G636" t="str">
        <x:v>Android</x:v>
      </x:c>
      <x:c r="H636" t="n">
        <x:v>4052</x:v>
      </x:c>
      <x:c r="I636" t="n">
        <x:v>347</x:v>
      </x:c>
      <x:c r="J636" t="n">
        <x:v>54</x:v>
      </x:c>
      <x:c r="K636" t="n">
        <x:v>35</x:v>
      </x:c>
      <x:c r="L636" t="n">
        <x:v>22</x:v>
      </x:c>
      <x:c r="M636" s="28" t="n">
        <x:v>45657944.42</x:v>
      </x:c>
      <x:c r="N636" s="28" t="n">
        <x:v>39849.04</x:v>
      </x:c>
      <x:c r="O636" s="30" t="n">
        <x:f>IFERROR(I636/H636,0)</x:f>
        <x:v>0.08563672260612043</x:v>
      </x:c>
      <x:c r="P636" s="30" t="n">
        <x:f>IFERROR(J636/I636,0)</x:f>
        <x:v>0.15561959654178675</x:v>
      </x:c>
      <x:c r="Q636" s="30" t="n">
        <x:f>IFERROR(K636/J636,0)</x:f>
        <x:v>0.6481481481481481</x:v>
      </x:c>
      <x:c r="R636" s="30" t="n">
        <x:f>IFERROR(L636/K636,0)</x:f>
        <x:v>0.6285714285714286</x:v>
      </x:c>
      <x:c r="S636" s="28" t="n">
        <x:f>IFERROR(N636/J636,0)</x:f>
        <x:v>737.9451851851852</x:v>
      </x:c>
      <x:c r="T636" s="28" t="n">
        <x:f>IFERROR(N636/K636,0)</x:f>
        <x:v>1138.544</x:v>
      </x:c>
      <x:c r="U636" s="28" t="n">
        <x:f>IFERROR(N636/L636,0)</x:f>
        <x:v>1811.32</x:v>
      </x:c>
    </x:row>
    <x:row r="637">
      <x:c r="A637" t="n">
        <x:v>636</x:v>
      </x:c>
      <x:c r="B637" s="26" t="n">
        <x:v>46182</x:v>
      </x:c>
      <x:c r="C637" t="str">
        <x:v>CPO_Salario</x:v>
      </x:c>
      <x:c r="D637" t="str">
        <x:v>Google Ads</x:v>
      </x:c>
      <x:c r="E637" t="str">
        <x:v>Funcionário Público</x:v>
      </x:c>
      <x:c r="F637" t="str">
        <x:v>Luanda</x:v>
      </x:c>
      <x:c r="G637" t="str">
        <x:v>Android</x:v>
      </x:c>
      <x:c r="H637" t="n">
        <x:v>5346</x:v>
      </x:c>
      <x:c r="I637" t="n">
        <x:v>161</x:v>
      </x:c>
      <x:c r="J637" t="n">
        <x:v>21</x:v>
      </x:c>
      <x:c r="K637" t="n">
        <x:v>12</x:v>
      </x:c>
      <x:c r="L637" t="n">
        <x:v>8</x:v>
      </x:c>
      <x:c r="M637" s="28" t="n">
        <x:v>13718464.46</x:v>
      </x:c>
      <x:c r="N637" s="28" t="n">
        <x:v>19517.91</x:v>
      </x:c>
      <x:c r="O637" s="30" t="n">
        <x:f>IFERROR(I637/H637,0)</x:f>
        <x:v>0.030115974560419007</x:v>
      </x:c>
      <x:c r="P637" s="30" t="n">
        <x:f>IFERROR(J637/I637,0)</x:f>
        <x:v>0.13043478260869565</x:v>
      </x:c>
      <x:c r="Q637" s="30" t="n">
        <x:f>IFERROR(K637/J637,0)</x:f>
        <x:v>0.5714285714285714</x:v>
      </x:c>
      <x:c r="R637" s="30" t="n">
        <x:f>IFERROR(L637/K637,0)</x:f>
        <x:v>0.6666666666666666</x:v>
      </x:c>
      <x:c r="S637" s="28" t="n">
        <x:f>IFERROR(N637/J637,0)</x:f>
        <x:v>929.4242857142857</x:v>
      </x:c>
      <x:c r="T637" s="28" t="n">
        <x:f>IFERROR(N637/K637,0)</x:f>
        <x:v>1626.4925</x:v>
      </x:c>
      <x:c r="U637" s="28" t="n">
        <x:f>IFERROR(N637/L637,0)</x:f>
        <x:v>2439.73875</x:v>
      </x:c>
    </x:row>
    <x:row r="638">
      <x:c r="A638" t="n">
        <x:v>637</x:v>
      </x:c>
      <x:c r="B638" s="26" t="n">
        <x:v>46182</x:v>
      </x:c>
      <x:c r="C638" t="str">
        <x:v>CPO_Fim_do_Mes</x:v>
      </x:c>
      <x:c r="D638" t="str">
        <x:v>E-mail</x:v>
      </x:c>
      <x:c r="E638" t="str">
        <x:v>Funcionário Público</x:v>
      </x:c>
      <x:c r="F638" t="str">
        <x:v>Luanda</x:v>
      </x:c>
      <x:c r="G638" t="str">
        <x:v>Android</x:v>
      </x:c>
      <x:c r="H638" t="n">
        <x:v>1870</x:v>
      </x:c>
      <x:c r="I638" t="n">
        <x:v>115</x:v>
      </x:c>
      <x:c r="J638" t="n">
        <x:v>10</x:v>
      </x:c>
      <x:c r="K638" t="n">
        <x:v>7</x:v>
      </x:c>
      <x:c r="L638" t="n">
        <x:v>4</x:v>
      </x:c>
      <x:c r="M638" s="28" t="n">
        <x:v>8759322.97</x:v>
      </x:c>
      <x:c r="N638" s="28" t="n">
        <x:v>32252.46</x:v>
      </x:c>
      <x:c r="O638" s="30" t="n">
        <x:f>IFERROR(I638/H638,0)</x:f>
        <x:v>0.06149732620320856</x:v>
      </x:c>
      <x:c r="P638" s="30" t="n">
        <x:f>IFERROR(J638/I638,0)</x:f>
        <x:v>0.08695652173913043</x:v>
      </x:c>
      <x:c r="Q638" s="30" t="n">
        <x:f>IFERROR(K638/J638,0)</x:f>
        <x:v>0.7</x:v>
      </x:c>
      <x:c r="R638" s="30" t="n">
        <x:f>IFERROR(L638/K638,0)</x:f>
        <x:v>0.5714285714285714</x:v>
      </x:c>
      <x:c r="S638" s="28" t="n">
        <x:f>IFERROR(N638/J638,0)</x:f>
        <x:v>3225.246</x:v>
      </x:c>
      <x:c r="T638" s="28" t="n">
        <x:f>IFERROR(N638/K638,0)</x:f>
        <x:v>4607.494285714286</x:v>
      </x:c>
      <x:c r="U638" s="28" t="n">
        <x:f>IFERROR(N638/L638,0)</x:f>
        <x:v>8063.115</x:v>
      </x:c>
    </x:row>
    <x:row r="639">
      <x:c r="A639" t="n">
        <x:v>638</x:v>
      </x:c>
      <x:c r="B639" s="26" t="n">
        <x:v>46183</x:v>
      </x:c>
      <x:c r="C639" t="str">
        <x:v>CPO_Acesso_Rapido</x:v>
      </x:c>
      <x:c r="D639" t="str">
        <x:v>BAI Directo/App</x:v>
      </x:c>
      <x:c r="E639" t="str">
        <x:v>Funcionário Público</x:v>
      </x:c>
      <x:c r="F639" t="str">
        <x:v>Malanje</x:v>
      </x:c>
      <x:c r="G639" t="str">
        <x:v>Android</x:v>
      </x:c>
      <x:c r="H639" t="n">
        <x:v>6305</x:v>
      </x:c>
      <x:c r="I639" t="n">
        <x:v>598</x:v>
      </x:c>
      <x:c r="J639" t="n">
        <x:v>118</x:v>
      </x:c>
      <x:c r="K639" t="n">
        <x:v>68</x:v>
      </x:c>
      <x:c r="L639" t="n">
        <x:v>34</x:v>
      </x:c>
      <x:c r="M639" s="28" t="n">
        <x:v>59725599.45</x:v>
      </x:c>
      <x:c r="N639" s="28" t="n">
        <x:v>76571.12</x:v>
      </x:c>
      <x:c r="O639" s="30" t="n">
        <x:f>IFERROR(I639/H639,0)</x:f>
        <x:v>0.09484536082474226</x:v>
      </x:c>
      <x:c r="P639" s="30" t="n">
        <x:f>IFERROR(J639/I639,0)</x:f>
        <x:v>0.19732441471571907</x:v>
      </x:c>
      <x:c r="Q639" s="30" t="n">
        <x:f>IFERROR(K639/J639,0)</x:f>
        <x:v>0.576271186440678</x:v>
      </x:c>
      <x:c r="R639" s="30" t="n">
        <x:f>IFERROR(L639/K639,0)</x:f>
        <x:v>0.5</x:v>
      </x:c>
      <x:c r="S639" s="28" t="n">
        <x:f>IFERROR(N639/J639,0)</x:f>
        <x:v>648.9077966101695</x:v>
      </x:c>
      <x:c r="T639" s="28" t="n">
        <x:f>IFERROR(N639/K639,0)</x:f>
        <x:v>1126.0458823529411</x:v>
      </x:c>
      <x:c r="U639" s="28" t="n">
        <x:f>IFERROR(N639/L639,0)</x:f>
        <x:v>2252.0917647058823</x:v>
      </x:c>
    </x:row>
    <x:row r="640">
      <x:c r="A640" t="n">
        <x:v>639</x:v>
      </x:c>
      <x:c r="B640" s="26" t="n">
        <x:v>46183</x:v>
      </x:c>
      <x:c r="C640" t="str">
        <x:v>CPO_Digital_360</x:v>
      </x:c>
      <x:c r="D640" t="str">
        <x:v>Meta Ads</x:v>
      </x:c>
      <x:c r="E640" t="str">
        <x:v>Premium</x:v>
      </x:c>
      <x:c r="F640" t="str">
        <x:v>Luanda</x:v>
      </x:c>
      <x:c r="G640" t="str">
        <x:v>Android</x:v>
      </x:c>
      <x:c r="H640" t="n">
        <x:v>23101</x:v>
      </x:c>
      <x:c r="I640" t="n">
        <x:v>482</x:v>
      </x:c>
      <x:c r="J640" t="n">
        <x:v>52</x:v>
      </x:c>
      <x:c r="K640" t="n">
        <x:v>46</x:v>
      </x:c>
      <x:c r="L640" t="n">
        <x:v>29</x:v>
      </x:c>
      <x:c r="M640" s="28" t="n">
        <x:v>160418704.45</x:v>
      </x:c>
      <x:c r="N640" s="28" t="n">
        <x:v>69586.2</x:v>
      </x:c>
      <x:c r="O640" s="30" t="n">
        <x:f>IFERROR(I640/H640,0)</x:f>
        <x:v>0.020864897623479504</x:v>
      </x:c>
      <x:c r="P640" s="30" t="n">
        <x:f>IFERROR(J640/I640,0)</x:f>
        <x:v>0.1078838174273859</x:v>
      </x:c>
      <x:c r="Q640" s="30" t="n">
        <x:f>IFERROR(K640/J640,0)</x:f>
        <x:v>0.8846153846153846</x:v>
      </x:c>
      <x:c r="R640" s="30" t="n">
        <x:f>IFERROR(L640/K640,0)</x:f>
        <x:v>0.6304347826086957</x:v>
      </x:c>
      <x:c r="S640" s="28" t="n">
        <x:f>IFERROR(N640/J640,0)</x:f>
        <x:v>1338.1961538461537</x:v>
      </x:c>
      <x:c r="T640" s="28" t="n">
        <x:f>IFERROR(N640/K640,0)</x:f>
        <x:v>1512.7434782608696</x:v>
      </x:c>
      <x:c r="U640" s="28" t="n">
        <x:f>IFERROR(N640/L640,0)</x:f>
        <x:v>2399.5241379310346</x:v>
      </x:c>
    </x:row>
    <x:row r="641">
      <x:c r="A641" t="n">
        <x:v>640</x:v>
      </x:c>
      <x:c r="B641" s="26" t="n">
        <x:v>46183</x:v>
      </x:c>
      <x:c r="C641" t="str">
        <x:v>CPO_Fim_do_Mes</x:v>
      </x:c>
      <x:c r="D641" t="str">
        <x:v>Meta Ads</x:v>
      </x:c>
      <x:c r="E641" t="str">
        <x:v>Assalariado</x:v>
      </x:c>
      <x:c r="F641" t="str">
        <x:v>Huambo</x:v>
      </x:c>
      <x:c r="G641" t="str">
        <x:v>Android</x:v>
      </x:c>
      <x:c r="H641" t="n">
        <x:v>7599</x:v>
      </x:c>
      <x:c r="I641" t="n">
        <x:v>168</x:v>
      </x:c>
      <x:c r="J641" t="n">
        <x:v>22</x:v>
      </x:c>
      <x:c r="K641" t="n">
        <x:v>15</x:v>
      </x:c>
      <x:c r="L641" t="n">
        <x:v>12</x:v>
      </x:c>
      <x:c r="M641" s="28" t="n">
        <x:v>28501839.6</x:v>
      </x:c>
      <x:c r="N641" s="28" t="n">
        <x:v>15994.82</x:v>
      </x:c>
      <x:c r="O641" s="30" t="n">
        <x:f>IFERROR(I641/H641,0)</x:f>
        <x:v>0.022108172127911566</x:v>
      </x:c>
      <x:c r="P641" s="30" t="n">
        <x:f>IFERROR(J641/I641,0)</x:f>
        <x:v>0.13095238095238096</x:v>
      </x:c>
      <x:c r="Q641" s="30" t="n">
        <x:f>IFERROR(K641/J641,0)</x:f>
        <x:v>0.6818181818181818</x:v>
      </x:c>
      <x:c r="R641" s="30" t="n">
        <x:f>IFERROR(L641/K641,0)</x:f>
        <x:v>0.8</x:v>
      </x:c>
      <x:c r="S641" s="28" t="n">
        <x:f>IFERROR(N641/J641,0)</x:f>
        <x:v>727.0372727272727</x:v>
      </x:c>
      <x:c r="T641" s="28" t="n">
        <x:f>IFERROR(N641/K641,0)</x:f>
        <x:v>1066.3213333333333</x:v>
      </x:c>
      <x:c r="U641" s="28" t="n">
        <x:f>IFERROR(N641/L641,0)</x:f>
        <x:v>1332.9016666666666</x:v>
      </x:c>
    </x:row>
    <x:row r="642">
      <x:c r="A642" t="n">
        <x:v>641</x:v>
      </x:c>
      <x:c r="B642" s="26" t="n">
        <x:v>46183</x:v>
      </x:c>
      <x:c r="C642" t="str">
        <x:v>CPO_Salario</x:v>
      </x:c>
      <x:c r="D642" t="str">
        <x:v>E-mail</x:v>
      </x:c>
      <x:c r="E642" t="str">
        <x:v>Pequeno Negócio</x:v>
      </x:c>
      <x:c r="F642" t="str">
        <x:v>Cuanza Sul</x:v>
      </x:c>
      <x:c r="G642" t="str">
        <x:v>Android</x:v>
      </x:c>
      <x:c r="H642" t="n">
        <x:v>1825</x:v>
      </x:c>
      <x:c r="I642" t="n">
        <x:v>100</x:v>
      </x:c>
      <x:c r="J642" t="n">
        <x:v>12</x:v>
      </x:c>
      <x:c r="K642" t="n">
        <x:v>8</x:v>
      </x:c>
      <x:c r="L642" t="n">
        <x:v>4</x:v>
      </x:c>
      <x:c r="M642" s="28" t="n">
        <x:v>13685761.06</x:v>
      </x:c>
      <x:c r="N642" s="28" t="n">
        <x:v>12155.48</x:v>
      </x:c>
      <x:c r="O642" s="30" t="n">
        <x:f>IFERROR(I642/H642,0)</x:f>
        <x:v>0.0547945205479452</x:v>
      </x:c>
      <x:c r="P642" s="30" t="n">
        <x:f>IFERROR(J642/I642,0)</x:f>
        <x:v>0.12</x:v>
      </x:c>
      <x:c r="Q642" s="30" t="n">
        <x:f>IFERROR(K642/J642,0)</x:f>
        <x:v>0.6666666666666666</x:v>
      </x:c>
      <x:c r="R642" s="30" t="n">
        <x:f>IFERROR(L642/K642,0)</x:f>
        <x:v>0.5</x:v>
      </x:c>
      <x:c r="S642" s="28" t="n">
        <x:f>IFERROR(N642/J642,0)</x:f>
        <x:v>1012.9566666666666</x:v>
      </x:c>
      <x:c r="T642" s="28" t="n">
        <x:f>IFERROR(N642/K642,0)</x:f>
        <x:v>1519.435</x:v>
      </x:c>
      <x:c r="U642" s="28" t="n">
        <x:f>IFERROR(N642/L642,0)</x:f>
        <x:v>3038.87</x:v>
      </x:c>
    </x:row>
    <x:row r="643">
      <x:c r="A643" t="n">
        <x:v>642</x:v>
      </x:c>
      <x:c r="B643" s="26" t="n">
        <x:v>46184</x:v>
      </x:c>
      <x:c r="C643" t="str">
        <x:v>CPO_Digital_360</x:v>
      </x:c>
      <x:c r="D643" t="str">
        <x:v>E-mail</x:v>
      </x:c>
      <x:c r="E643" t="str">
        <x:v>Pequeno Negócio</x:v>
      </x:c>
      <x:c r="F643" t="str">
        <x:v>Luanda</x:v>
      </x:c>
      <x:c r="G643" t="str">
        <x:v>Android</x:v>
      </x:c>
      <x:c r="H643" t="n">
        <x:v>11352</x:v>
      </x:c>
      <x:c r="I643" t="n">
        <x:v>598</x:v>
      </x:c>
      <x:c r="J643" t="n">
        <x:v>63</x:v>
      </x:c>
      <x:c r="K643" t="n">
        <x:v>23</x:v>
      </x:c>
      <x:c r="L643" t="n">
        <x:v>10</x:v>
      </x:c>
      <x:c r="M643" s="28" t="n">
        <x:v>31071148.21</x:v>
      </x:c>
      <x:c r="N643" s="28" t="n">
        <x:v>149747.64</x:v>
      </x:c>
      <x:c r="O643" s="30" t="n">
        <x:f>IFERROR(I643/H643,0)</x:f>
        <x:v>0.052677942212825936</x:v>
      </x:c>
      <x:c r="P643" s="30" t="n">
        <x:f>IFERROR(J643/I643,0)</x:f>
        <x:v>0.10535117056856187</x:v>
      </x:c>
      <x:c r="Q643" s="30" t="n">
        <x:f>IFERROR(K643/J643,0)</x:f>
        <x:v>0.36507936507936506</x:v>
      </x:c>
      <x:c r="R643" s="30" t="n">
        <x:f>IFERROR(L643/K643,0)</x:f>
        <x:v>0.43478260869565216</x:v>
      </x:c>
      <x:c r="S643" s="28" t="n">
        <x:f>IFERROR(N643/J643,0)</x:f>
        <x:v>2376.9466666666667</x:v>
      </x:c>
      <x:c r="T643" s="28" t="n">
        <x:f>IFERROR(N643/K643,0)</x:f>
        <x:v>6510.766956521739</x:v>
      </x:c>
      <x:c r="U643" s="28" t="n">
        <x:f>IFERROR(N643/L643,0)</x:f>
        <x:v>14974.764000000001</x:v>
      </x:c>
    </x:row>
    <x:row r="644">
      <x:c r="A644" t="n">
        <x:v>643</x:v>
      </x:c>
      <x:c r="B644" s="26" t="n">
        <x:v>46184</x:v>
      </x:c>
      <x:c r="C644" t="str">
        <x:v>CPO_Salario</x:v>
      </x:c>
      <x:c r="D644" t="str">
        <x:v>TikTok Ads</x:v>
      </x:c>
      <x:c r="E644" t="str">
        <x:v>Assalariado</x:v>
      </x:c>
      <x:c r="F644" t="str">
        <x:v>Benguela</x:v>
      </x:c>
      <x:c r="G644" t="str">
        <x:v>iOS</x:v>
      </x:c>
      <x:c r="H644" t="n">
        <x:v>16392</x:v>
      </x:c>
      <x:c r="I644" t="n">
        <x:v>222</x:v>
      </x:c>
      <x:c r="J644" t="n">
        <x:v>17</x:v>
      </x:c>
      <x:c r="K644" t="n">
        <x:v>12</x:v>
      </x:c>
      <x:c r="L644" t="n">
        <x:v>8</x:v>
      </x:c>
      <x:c r="M644" s="28" t="n">
        <x:v>17811557.12</x:v>
      </x:c>
      <x:c r="N644" s="28" t="n">
        <x:v>13226.71</x:v>
      </x:c>
      <x:c r="O644" s="30" t="n">
        <x:f>IFERROR(I644/H644,0)</x:f>
        <x:v>0.013543191800878478</x:v>
      </x:c>
      <x:c r="P644" s="30" t="n">
        <x:f>IFERROR(J644/I644,0)</x:f>
        <x:v>0.07657657657657657</x:v>
      </x:c>
      <x:c r="Q644" s="30" t="n">
        <x:f>IFERROR(K644/J644,0)</x:f>
        <x:v>0.7058823529411765</x:v>
      </x:c>
      <x:c r="R644" s="30" t="n">
        <x:f>IFERROR(L644/K644,0)</x:f>
        <x:v>0.6666666666666666</x:v>
      </x:c>
      <x:c r="S644" s="28" t="n">
        <x:f>IFERROR(N644/J644,0)</x:f>
        <x:v>778.0417647058823</x:v>
      </x:c>
      <x:c r="T644" s="28" t="n">
        <x:f>IFERROR(N644/K644,0)</x:f>
        <x:v>1102.2258333333332</x:v>
      </x:c>
      <x:c r="U644" s="28" t="n">
        <x:f>IFERROR(N644/L644,0)</x:f>
        <x:v>1653.33875</x:v>
      </x:c>
    </x:row>
    <x:row r="645">
      <x:c r="A645" t="n">
        <x:v>644</x:v>
      </x:c>
      <x:c r="B645" s="26" t="n">
        <x:v>46184</x:v>
      </x:c>
      <x:c r="C645" t="str">
        <x:v>CPO_Fim_do_Mes</x:v>
      </x:c>
      <x:c r="D645" t="str">
        <x:v>TikTok Ads</x:v>
      </x:c>
      <x:c r="E645" t="str">
        <x:v>Jovem Profissional</x:v>
      </x:c>
      <x:c r="F645" t="str">
        <x:v>Luanda</x:v>
      </x:c>
      <x:c r="G645" t="str">
        <x:v>Android</x:v>
      </x:c>
      <x:c r="H645" t="n">
        <x:v>24046</x:v>
      </x:c>
      <x:c r="I645" t="n">
        <x:v>289</x:v>
      </x:c>
      <x:c r="J645" t="n">
        <x:v>22</x:v>
      </x:c>
      <x:c r="K645" t="n">
        <x:v>12</x:v>
      </x:c>
      <x:c r="L645" t="n">
        <x:v>7</x:v>
      </x:c>
      <x:c r="M645" s="28" t="n">
        <x:v>7015949.73</x:v>
      </x:c>
      <x:c r="N645" s="28" t="n">
        <x:v>22318.96</x:v>
      </x:c>
      <x:c r="O645" s="30" t="n">
        <x:f>IFERROR(I645/H645,0)</x:f>
        <x:v>0.01201863095733178</x:v>
      </x:c>
      <x:c r="P645" s="30" t="n">
        <x:f>IFERROR(J645/I645,0)</x:f>
        <x:v>0.07612456747404844</x:v>
      </x:c>
      <x:c r="Q645" s="30" t="n">
        <x:f>IFERROR(K645/J645,0)</x:f>
        <x:v>0.5454545454545454</x:v>
      </x:c>
      <x:c r="R645" s="30" t="n">
        <x:f>IFERROR(L645/K645,0)</x:f>
        <x:v>0.5833333333333334</x:v>
      </x:c>
      <x:c r="S645" s="28" t="n">
        <x:f>IFERROR(N645/J645,0)</x:f>
        <x:v>1014.4981818181818</x:v>
      </x:c>
      <x:c r="T645" s="28" t="n">
        <x:f>IFERROR(N645/K645,0)</x:f>
        <x:v>1859.9133333333332</x:v>
      </x:c>
      <x:c r="U645" s="28" t="n">
        <x:f>IFERROR(N645/L645,0)</x:f>
        <x:v>3188.422857142857</x:v>
      </x:c>
    </x:row>
    <x:row r="646">
      <x:c r="A646" t="n">
        <x:v>645</x:v>
      </x:c>
      <x:c r="B646" s="26" t="n">
        <x:v>46184</x:v>
      </x:c>
      <x:c r="C646" t="str">
        <x:v>CPO_Always_On</x:v>
      </x:c>
      <x:c r="D646" t="str">
        <x:v>Meta Ads</x:v>
      </x:c>
      <x:c r="E646" t="str">
        <x:v>Jovem Profissional</x:v>
      </x:c>
      <x:c r="F646" t="str">
        <x:v>Benguela</x:v>
      </x:c>
      <x:c r="G646" t="str">
        <x:v>iOS</x:v>
      </x:c>
      <x:c r="H646" t="n">
        <x:v>5316</x:v>
      </x:c>
      <x:c r="I646" t="n">
        <x:v>70</x:v>
      </x:c>
      <x:c r="J646" t="n">
        <x:v>6</x:v>
      </x:c>
      <x:c r="K646" t="n">
        <x:v>3</x:v>
      </x:c>
      <x:c r="L646" t="n">
        <x:v>2</x:v>
      </x:c>
      <x:c r="M646" s="28" t="n">
        <x:v>2182252.59</x:v>
      </x:c>
      <x:c r="N646" s="28" t="n">
        <x:v>8329.35</x:v>
      </x:c>
      <x:c r="O646" s="30" t="n">
        <x:f>IFERROR(I646/H646,0)</x:f>
        <x:v>0.013167795334838224</x:v>
      </x:c>
      <x:c r="P646" s="30" t="n">
        <x:f>IFERROR(J646/I646,0)</x:f>
        <x:v>0.08571428571428572</x:v>
      </x:c>
      <x:c r="Q646" s="30" t="n">
        <x:f>IFERROR(K646/J646,0)</x:f>
        <x:v>0.5</x:v>
      </x:c>
      <x:c r="R646" s="30" t="n">
        <x:f>IFERROR(L646/K646,0)</x:f>
        <x:v>0.6666666666666666</x:v>
      </x:c>
      <x:c r="S646" s="28" t="n">
        <x:f>IFERROR(N646/J646,0)</x:f>
        <x:v>1388.2250000000001</x:v>
      </x:c>
      <x:c r="T646" s="28" t="n">
        <x:f>IFERROR(N646/K646,0)</x:f>
        <x:v>2776.4500000000003</x:v>
      </x:c>
      <x:c r="U646" s="28" t="n">
        <x:f>IFERROR(N646/L646,0)</x:f>
        <x:v>4164.675</x:v>
      </x:c>
    </x:row>
    <x:row r="647">
      <x:c r="A647" t="n">
        <x:v>646</x:v>
      </x:c>
      <x:c r="B647" s="26" t="n">
        <x:v>46185</x:v>
      </x:c>
      <x:c r="C647" t="str">
        <x:v>CPO_Acesso_Rapido</x:v>
      </x:c>
      <x:c r="D647" t="str">
        <x:v>TikTok Ads</x:v>
      </x:c>
      <x:c r="E647" t="str">
        <x:v>Funcionário Público</x:v>
      </x:c>
      <x:c r="F647" t="str">
        <x:v>Luanda</x:v>
      </x:c>
      <x:c r="G647" t="str">
        <x:v>Android</x:v>
      </x:c>
      <x:c r="H647" t="n">
        <x:v>3258</x:v>
      </x:c>
      <x:c r="I647" t="n">
        <x:v>42</x:v>
      </x:c>
      <x:c r="J647" t="n">
        <x:v>3</x:v>
      </x:c>
      <x:c r="K647" t="n">
        <x:v>2</x:v>
      </x:c>
      <x:c r="L647" t="n">
        <x:v>1</x:v>
      </x:c>
      <x:c r="M647" s="28" t="n">
        <x:v>1549548.14</x:v>
      </x:c>
      <x:c r="N647" s="28" t="n">
        <x:v>2196.66</x:v>
      </x:c>
      <x:c r="O647" s="30" t="n">
        <x:f>IFERROR(I647/H647,0)</x:f>
        <x:v>0.01289134438305709</x:v>
      </x:c>
      <x:c r="P647" s="30" t="n">
        <x:f>IFERROR(J647/I647,0)</x:f>
        <x:v>0.07142857142857142</x:v>
      </x:c>
      <x:c r="Q647" s="30" t="n">
        <x:f>IFERROR(K647/J647,0)</x:f>
        <x:v>0.6666666666666666</x:v>
      </x:c>
      <x:c r="R647" s="30" t="n">
        <x:f>IFERROR(L647/K647,0)</x:f>
        <x:v>0.5</x:v>
      </x:c>
      <x:c r="S647" s="28" t="n">
        <x:f>IFERROR(N647/J647,0)</x:f>
        <x:v>732.2199999999999</x:v>
      </x:c>
      <x:c r="T647" s="28" t="n">
        <x:f>IFERROR(N647/K647,0)</x:f>
        <x:v>1098.33</x:v>
      </x:c>
      <x:c r="U647" s="28" t="n">
        <x:f>IFERROR(N647/L647,0)</x:f>
        <x:v>2196.66</x:v>
      </x:c>
    </x:row>
    <x:row r="648">
      <x:c r="A648" t="n">
        <x:v>647</x:v>
      </x:c>
      <x:c r="B648" s="26" t="n">
        <x:v>46185</x:v>
      </x:c>
      <x:c r="C648" t="str">
        <x:v>CPO_Digital_360</x:v>
      </x:c>
      <x:c r="D648" t="str">
        <x:v>SMS</x:v>
      </x:c>
      <x:c r="E648" t="str">
        <x:v>Assalariado</x:v>
      </x:c>
      <x:c r="F648" t="str">
        <x:v>Benguela</x:v>
      </x:c>
      <x:c r="G648" t="str">
        <x:v>Android</x:v>
      </x:c>
      <x:c r="H648" t="n">
        <x:v>10085</x:v>
      </x:c>
      <x:c r="I648" t="n">
        <x:v>635</x:v>
      </x:c>
      <x:c r="J648" t="n">
        <x:v>102</x:v>
      </x:c>
      <x:c r="K648" t="n">
        <x:v>72</x:v>
      </x:c>
      <x:c r="L648" t="n">
        <x:v>39</x:v>
      </x:c>
      <x:c r="M648" s="28" t="n">
        <x:v>84619509.6</x:v>
      </x:c>
      <x:c r="N648" s="28" t="n">
        <x:v>85236.87</x:v>
      </x:c>
      <x:c r="O648" s="30" t="n">
        <x:f>IFERROR(I648/H648,0)</x:f>
        <x:v>0.06296479920674268</x:v>
      </x:c>
      <x:c r="P648" s="30" t="n">
        <x:f>IFERROR(J648/I648,0)</x:f>
        <x:v>0.16062992125984252</x:v>
      </x:c>
      <x:c r="Q648" s="30" t="n">
        <x:f>IFERROR(K648/J648,0)</x:f>
        <x:v>0.7058823529411765</x:v>
      </x:c>
      <x:c r="R648" s="30" t="n">
        <x:f>IFERROR(L648/K648,0)</x:f>
        <x:v>0.5416666666666666</x:v>
      </x:c>
      <x:c r="S648" s="28" t="n">
        <x:f>IFERROR(N648/J648,0)</x:f>
        <x:v>835.6555882352941</x:v>
      </x:c>
      <x:c r="T648" s="28" t="n">
        <x:f>IFERROR(N648/K648,0)</x:f>
        <x:v>1183.8454166666666</x:v>
      </x:c>
      <x:c r="U648" s="28" t="n">
        <x:f>IFERROR(N648/L648,0)</x:f>
        <x:v>2185.560769230769</x:v>
      </x:c>
    </x:row>
    <x:row r="649">
      <x:c r="A649" t="n">
        <x:v>648</x:v>
      </x:c>
      <x:c r="B649" s="26" t="n">
        <x:v>46185</x:v>
      </x:c>
      <x:c r="C649" t="str">
        <x:v>CPO_Fim_do_Mes</x:v>
      </x:c>
      <x:c r="D649" t="str">
        <x:v>Google Ads</x:v>
      </x:c>
      <x:c r="E649" t="str">
        <x:v>Funcionário Público</x:v>
      </x:c>
      <x:c r="F649" t="str">
        <x:v>Luanda</x:v>
      </x:c>
      <x:c r="G649" t="str">
        <x:v>Android</x:v>
      </x:c>
      <x:c r="H649" t="n">
        <x:v>18157</x:v>
      </x:c>
      <x:c r="I649" t="n">
        <x:v>590</x:v>
      </x:c>
      <x:c r="J649" t="n">
        <x:v>94</x:v>
      </x:c>
      <x:c r="K649" t="n">
        <x:v>54</x:v>
      </x:c>
      <x:c r="L649" t="n">
        <x:v>45</x:v>
      </x:c>
      <x:c r="M649" s="28" t="n">
        <x:v>81473113.25</x:v>
      </x:c>
      <x:c r="N649" s="28" t="n">
        <x:v>84973.07</x:v>
      </x:c>
      <x:c r="O649" s="30" t="n">
        <x:f>IFERROR(I649/H649,0)</x:f>
        <x:v>0.03249435479429421</x:v>
      </x:c>
      <x:c r="P649" s="30" t="n">
        <x:f>IFERROR(J649/I649,0)</x:f>
        <x:v>0.15932203389830507</x:v>
      </x:c>
      <x:c r="Q649" s="30" t="n">
        <x:f>IFERROR(K649/J649,0)</x:f>
        <x:v>0.574468085106383</x:v>
      </x:c>
      <x:c r="R649" s="30" t="n">
        <x:f>IFERROR(L649/K649,0)</x:f>
        <x:v>0.8333333333333334</x:v>
      </x:c>
      <x:c r="S649" s="28" t="n">
        <x:f>IFERROR(N649/J649,0)</x:f>
        <x:v>903.9688297872341</x:v>
      </x:c>
      <x:c r="T649" s="28" t="n">
        <x:f>IFERROR(N649/K649,0)</x:f>
        <x:v>1573.5753703703706</x:v>
      </x:c>
      <x:c r="U649" s="28" t="n">
        <x:f>IFERROR(N649/L649,0)</x:f>
        <x:v>1888.2904444444446</x:v>
      </x:c>
    </x:row>
    <x:row r="650">
      <x:c r="A650" t="n">
        <x:v>649</x:v>
      </x:c>
      <x:c r="B650" s="26" t="n">
        <x:v>46185</x:v>
      </x:c>
      <x:c r="C650" t="str">
        <x:v>CPO_Acesso_Rapido</x:v>
      </x:c>
      <x:c r="D650" t="str">
        <x:v>BAI Directo/App</x:v>
      </x:c>
      <x:c r="E650" t="str">
        <x:v>Jovem Profissional</x:v>
      </x:c>
      <x:c r="F650" t="str">
        <x:v>Luanda</x:v>
      </x:c>
      <x:c r="G650" t="str">
        <x:v>Android</x:v>
      </x:c>
      <x:c r="H650" t="n">
        <x:v>6544</x:v>
      </x:c>
      <x:c r="I650" t="n">
        <x:v>631</x:v>
      </x:c>
      <x:c r="J650" t="n">
        <x:v>126</x:v>
      </x:c>
      <x:c r="K650" t="n">
        <x:v>83</x:v>
      </x:c>
      <x:c r="L650" t="n">
        <x:v>43</x:v>
      </x:c>
      <x:c r="M650" s="28" t="n">
        <x:v>58795618.23</x:v>
      </x:c>
      <x:c r="N650" s="28" t="n">
        <x:v>47034.28</x:v>
      </x:c>
      <x:c r="O650" s="30" t="n">
        <x:f>IFERROR(I650/H650,0)</x:f>
        <x:v>0.0964242053789731</x:v>
      </x:c>
      <x:c r="P650" s="30" t="n">
        <x:f>IFERROR(J650/I650,0)</x:f>
        <x:v>0.19968304278922344</x:v>
      </x:c>
      <x:c r="Q650" s="30" t="n">
        <x:f>IFERROR(K650/J650,0)</x:f>
        <x:v>0.6587301587301587</x:v>
      </x:c>
      <x:c r="R650" s="30" t="n">
        <x:f>IFERROR(L650/K650,0)</x:f>
        <x:v>0.5180722891566265</x:v>
      </x:c>
      <x:c r="S650" s="28" t="n">
        <x:f>IFERROR(N650/J650,0)</x:f>
        <x:v>373.2879365079365</x:v>
      </x:c>
      <x:c r="T650" s="28" t="n">
        <x:f>IFERROR(N650/K650,0)</x:f>
        <x:v>566.6780722891566</x:v>
      </x:c>
      <x:c r="U650" s="28" t="n">
        <x:f>IFERROR(N650/L650,0)</x:f>
        <x:v>1093.8204651162791</x:v>
      </x:c>
    </x:row>
    <x:row r="651">
      <x:c r="A651" t="n">
        <x:v>650</x:v>
      </x:c>
      <x:c r="B651" s="26" t="n">
        <x:v>46185</x:v>
      </x:c>
      <x:c r="C651" t="str">
        <x:v>CPO_Always_On</x:v>
      </x:c>
      <x:c r="D651" t="str">
        <x:v>SMS</x:v>
      </x:c>
      <x:c r="E651" t="str">
        <x:v>Premium</x:v>
      </x:c>
      <x:c r="F651" t="str">
        <x:v>Malanje</x:v>
      </x:c>
      <x:c r="G651" t="str">
        <x:v>Android</x:v>
      </x:c>
      <x:c r="H651" t="n">
        <x:v>2455</x:v>
      </x:c>
      <x:c r="I651" t="n">
        <x:v>223</x:v>
      </x:c>
      <x:c r="J651" t="n">
        <x:v>23</x:v>
      </x:c>
      <x:c r="K651" t="n">
        <x:v>16</x:v>
      </x:c>
      <x:c r="L651" t="n">
        <x:v>15</x:v>
      </x:c>
      <x:c r="M651" s="28" t="n">
        <x:v>71788120.06</x:v>
      </x:c>
      <x:c r="N651" s="28" t="n">
        <x:v>20862.22</x:v>
      </x:c>
      <x:c r="O651" s="30" t="n">
        <x:f>IFERROR(I651/H651,0)</x:f>
        <x:v>0.09083503054989817</x:v>
      </x:c>
      <x:c r="P651" s="30" t="n">
        <x:f>IFERROR(J651/I651,0)</x:f>
        <x:v>0.1031390134529148</x:v>
      </x:c>
      <x:c r="Q651" s="30" t="n">
        <x:f>IFERROR(K651/J651,0)</x:f>
        <x:v>0.6956521739130435</x:v>
      </x:c>
      <x:c r="R651" s="30" t="n">
        <x:f>IFERROR(L651/K651,0)</x:f>
        <x:v>0.9375</x:v>
      </x:c>
      <x:c r="S651" s="28" t="n">
        <x:f>IFERROR(N651/J651,0)</x:f>
        <x:v>907.053043478261</x:v>
      </x:c>
      <x:c r="T651" s="28" t="n">
        <x:f>IFERROR(N651/K651,0)</x:f>
        <x:v>1303.88875</x:v>
      </x:c>
      <x:c r="U651" s="28" t="n">
        <x:f>IFERROR(N651/L651,0)</x:f>
        <x:v>1390.8146666666667</x:v>
      </x:c>
    </x:row>
    <x:row r="652">
      <x:c r="A652" t="n">
        <x:v>651</x:v>
      </x:c>
      <x:c r="B652" s="26" t="n">
        <x:v>46186</x:v>
      </x:c>
      <x:c r="C652" t="str">
        <x:v>CPO_Acesso_Rapido</x:v>
      </x:c>
      <x:c r="D652" t="str">
        <x:v>SMS</x:v>
      </x:c>
      <x:c r="E652" t="str">
        <x:v>Jovem Profissional</x:v>
      </x:c>
      <x:c r="F652" t="str">
        <x:v>Huambo</x:v>
      </x:c>
      <x:c r="G652" t="str">
        <x:v>iOS</x:v>
      </x:c>
      <x:c r="H652" t="n">
        <x:v>7757</x:v>
      </x:c>
      <x:c r="I652" t="n">
        <x:v>496</x:v>
      </x:c>
      <x:c r="J652" t="n">
        <x:v>55</x:v>
      </x:c>
      <x:c r="K652" t="n">
        <x:v>31</x:v>
      </x:c>
      <x:c r="L652" t="n">
        <x:v>24</x:v>
      </x:c>
      <x:c r="M652" s="28" t="n">
        <x:v>31579062.47</x:v>
      </x:c>
      <x:c r="N652" s="28" t="n">
        <x:v>72325.3</x:v>
      </x:c>
      <x:c r="O652" s="30" t="n">
        <x:f>IFERROR(I652/H652,0)</x:f>
        <x:v>0.06394224571354905</x:v>
      </x:c>
      <x:c r="P652" s="30" t="n">
        <x:f>IFERROR(J652/I652,0)</x:f>
        <x:v>0.11088709677419355</x:v>
      </x:c>
      <x:c r="Q652" s="30" t="n">
        <x:f>IFERROR(K652/J652,0)</x:f>
        <x:v>0.5636363636363636</x:v>
      </x:c>
      <x:c r="R652" s="30" t="n">
        <x:f>IFERROR(L652/K652,0)</x:f>
        <x:v>0.7741935483870968</x:v>
      </x:c>
      <x:c r="S652" s="28" t="n">
        <x:f>IFERROR(N652/J652,0)</x:f>
        <x:v>1315.0054545454545</x:v>
      </x:c>
      <x:c r="T652" s="28" t="n">
        <x:f>IFERROR(N652/K652,0)</x:f>
        <x:v>2333.074193548387</x:v>
      </x:c>
      <x:c r="U652" s="28" t="n">
        <x:f>IFERROR(N652/L652,0)</x:f>
        <x:v>3013.554166666667</x:v>
      </x:c>
    </x:row>
    <x:row r="653">
      <x:c r="A653" t="n">
        <x:v>652</x:v>
      </x:c>
      <x:c r="B653" s="26" t="n">
        <x:v>46186</x:v>
      </x:c>
      <x:c r="C653" t="str">
        <x:v>CPO_Fim_do_Mes</x:v>
      </x:c>
      <x:c r="D653" t="str">
        <x:v>Meta Ads</x:v>
      </x:c>
      <x:c r="E653" t="str">
        <x:v>Jovem Profissional</x:v>
      </x:c>
      <x:c r="F653" t="str">
        <x:v>Luanda</x:v>
      </x:c>
      <x:c r="G653" t="str">
        <x:v>Android</x:v>
      </x:c>
      <x:c r="H653" t="n">
        <x:v>13294</x:v>
      </x:c>
      <x:c r="I653" t="n">
        <x:v>251</x:v>
      </x:c>
      <x:c r="J653" t="n">
        <x:v>29</x:v>
      </x:c>
      <x:c r="K653" t="n">
        <x:v>17</x:v>
      </x:c>
      <x:c r="L653" t="n">
        <x:v>9</x:v>
      </x:c>
      <x:c r="M653" s="28" t="n">
        <x:v>11038822.84</x:v>
      </x:c>
      <x:c r="N653" s="28" t="n">
        <x:v>44189</x:v>
      </x:c>
      <x:c r="O653" s="30" t="n">
        <x:f>IFERROR(I653/H653,0)</x:f>
        <x:v>0.01888069805927486</x:v>
      </x:c>
      <x:c r="P653" s="30" t="n">
        <x:f>IFERROR(J653/I653,0)</x:f>
        <x:v>0.11553784860557768</x:v>
      </x:c>
      <x:c r="Q653" s="30" t="n">
        <x:f>IFERROR(K653/J653,0)</x:f>
        <x:v>0.5862068965517241</x:v>
      </x:c>
      <x:c r="R653" s="30" t="n">
        <x:f>IFERROR(L653/K653,0)</x:f>
        <x:v>0.5294117647058824</x:v>
      </x:c>
      <x:c r="S653" s="28" t="n">
        <x:f>IFERROR(N653/J653,0)</x:f>
        <x:v>1523.7586206896551</x:v>
      </x:c>
      <x:c r="T653" s="28" t="n">
        <x:f>IFERROR(N653/K653,0)</x:f>
        <x:v>2599.3529411764707</x:v>
      </x:c>
      <x:c r="U653" s="28" t="n">
        <x:f>IFERROR(N653/L653,0)</x:f>
        <x:v>4909.888888888889</x:v>
      </x:c>
    </x:row>
    <x:row r="654">
      <x:c r="A654" t="n">
        <x:v>653</x:v>
      </x:c>
      <x:c r="B654" s="26" t="n">
        <x:v>46186</x:v>
      </x:c>
      <x:c r="C654" t="str">
        <x:v>CPO_Acesso_Rapido</x:v>
      </x:c>
      <x:c r="D654" t="str">
        <x:v>Google Ads</x:v>
      </x:c>
      <x:c r="E654" t="str">
        <x:v>Pequeno Negócio</x:v>
      </x:c>
      <x:c r="F654" t="str">
        <x:v>Uíge</x:v>
      </x:c>
      <x:c r="G654" t="str">
        <x:v>Android</x:v>
      </x:c>
      <x:c r="H654" t="n">
        <x:v>7518</x:v>
      </x:c>
      <x:c r="I654" t="n">
        <x:v>311</x:v>
      </x:c>
      <x:c r="J654" t="n">
        <x:v>43</x:v>
      </x:c>
      <x:c r="K654" t="n">
        <x:v>19</x:v>
      </x:c>
      <x:c r="L654" t="n">
        <x:v>9</x:v>
      </x:c>
      <x:c r="M654" s="28" t="n">
        <x:v>31165183.17</x:v>
      </x:c>
      <x:c r="N654" s="28" t="n">
        <x:v>47354.78</x:v>
      </x:c>
      <x:c r="O654" s="30" t="n">
        <x:f>IFERROR(I654/H654,0)</x:f>
        <x:v>0.04136738494280394</x:v>
      </x:c>
      <x:c r="P654" s="30" t="n">
        <x:f>IFERROR(J654/I654,0)</x:f>
        <x:v>0.1382636655948553</x:v>
      </x:c>
      <x:c r="Q654" s="30" t="n">
        <x:f>IFERROR(K654/J654,0)</x:f>
        <x:v>0.4418604651162791</x:v>
      </x:c>
      <x:c r="R654" s="30" t="n">
        <x:f>IFERROR(L654/K654,0)</x:f>
        <x:v>0.47368421052631576</x:v>
      </x:c>
      <x:c r="S654" s="28" t="n">
        <x:f>IFERROR(N654/J654,0)</x:f>
        <x:v>1101.2739534883722</x:v>
      </x:c>
      <x:c r="T654" s="28" t="n">
        <x:f>IFERROR(N654/K654,0)</x:f>
        <x:v>2492.3568421052632</x:v>
      </x:c>
      <x:c r="U654" s="28" t="n">
        <x:f>IFERROR(N654/L654,0)</x:f>
        <x:v>5261.642222222222</x:v>
      </x:c>
    </x:row>
    <x:row r="655">
      <x:c r="A655" t="n">
        <x:v>654</x:v>
      </x:c>
      <x:c r="B655" s="26" t="n">
        <x:v>46186</x:v>
      </x:c>
      <x:c r="C655" t="str">
        <x:v>CPO_Always_On</x:v>
      </x:c>
      <x:c r="D655" t="str">
        <x:v>TikTok Ads</x:v>
      </x:c>
      <x:c r="E655" t="str">
        <x:v>Pequeno Negócio</x:v>
      </x:c>
      <x:c r="F655" t="str">
        <x:v>Uíge</x:v>
      </x:c>
      <x:c r="G655" t="str">
        <x:v>Android</x:v>
      </x:c>
      <x:c r="H655" t="n">
        <x:v>10825</x:v>
      </x:c>
      <x:c r="I655" t="n">
        <x:v>198</x:v>
      </x:c>
      <x:c r="J655" t="n">
        <x:v>11</x:v>
      </x:c>
      <x:c r="K655" t="n">
        <x:v>6</x:v>
      </x:c>
      <x:c r="L655" t="n">
        <x:v>2</x:v>
      </x:c>
      <x:c r="M655" s="28" t="n">
        <x:v>8101539.2</x:v>
      </x:c>
      <x:c r="N655" s="28" t="n">
        <x:v>14140.88</x:v>
      </x:c>
      <x:c r="O655" s="30" t="n">
        <x:f>IFERROR(I655/H655,0)</x:f>
        <x:v>0.018290993071593535</x:v>
      </x:c>
      <x:c r="P655" s="30" t="n">
        <x:f>IFERROR(J655/I655,0)</x:f>
        <x:v>0.05555555555555555</x:v>
      </x:c>
      <x:c r="Q655" s="30" t="n">
        <x:f>IFERROR(K655/J655,0)</x:f>
        <x:v>0.5454545454545454</x:v>
      </x:c>
      <x:c r="R655" s="30" t="n">
        <x:f>IFERROR(L655/K655,0)</x:f>
        <x:v>0.3333333333333333</x:v>
      </x:c>
      <x:c r="S655" s="28" t="n">
        <x:f>IFERROR(N655/J655,0)</x:f>
        <x:v>1285.5345454545454</x:v>
      </x:c>
      <x:c r="T655" s="28" t="n">
        <x:f>IFERROR(N655/K655,0)</x:f>
        <x:v>2356.813333333333</x:v>
      </x:c>
      <x:c r="U655" s="28" t="n">
        <x:f>IFERROR(N655/L655,0)</x:f>
        <x:v>7070.44</x:v>
      </x:c>
    </x:row>
    <x:row r="656">
      <x:c r="A656" t="n">
        <x:v>655</x:v>
      </x:c>
      <x:c r="B656" s="26" t="n">
        <x:v>46187</x:v>
      </x:c>
      <x:c r="C656" t="str">
        <x:v>CPO_Salario</x:v>
      </x:c>
      <x:c r="D656" t="str">
        <x:v>SMS</x:v>
      </x:c>
      <x:c r="E656" t="str">
        <x:v>Assalariado</x:v>
      </x:c>
      <x:c r="F656" t="str">
        <x:v>Luanda</x:v>
      </x:c>
      <x:c r="G656" t="str">
        <x:v>Android</x:v>
      </x:c>
      <x:c r="H656" t="n">
        <x:v>10262</x:v>
      </x:c>
      <x:c r="I656" t="n">
        <x:v>725</x:v>
      </x:c>
      <x:c r="J656" t="n">
        <x:v>85</x:v>
      </x:c>
      <x:c r="K656" t="n">
        <x:v>61</x:v>
      </x:c>
      <x:c r="L656" t="n">
        <x:v>43</x:v>
      </x:c>
      <x:c r="M656" s="28" t="n">
        <x:v>89666003.9</x:v>
      </x:c>
      <x:c r="N656" s="28" t="n">
        <x:v>131896.82</x:v>
      </x:c>
      <x:c r="O656" s="30" t="n">
        <x:f>IFERROR(I656/H656,0)</x:f>
        <x:v>0.07064899629701812</x:v>
      </x:c>
      <x:c r="P656" s="30" t="n">
        <x:f>IFERROR(J656/I656,0)</x:f>
        <x:v>0.11724137931034483</x:v>
      </x:c>
      <x:c r="Q656" s="30" t="n">
        <x:f>IFERROR(K656/J656,0)</x:f>
        <x:v>0.7176470588235294</x:v>
      </x:c>
      <x:c r="R656" s="30" t="n">
        <x:f>IFERROR(L656/K656,0)</x:f>
        <x:v>0.7049180327868853</x:v>
      </x:c>
      <x:c r="S656" s="28" t="n">
        <x:f>IFERROR(N656/J656,0)</x:f>
        <x:v>1551.727294117647</x:v>
      </x:c>
      <x:c r="T656" s="28" t="n">
        <x:f>IFERROR(N656/K656,0)</x:f>
        <x:v>2162.2429508196724</x:v>
      </x:c>
      <x:c r="U656" s="28" t="n">
        <x:f>IFERROR(N656/L656,0)</x:f>
        <x:v>3067.3679069767445</x:v>
      </x:c>
    </x:row>
    <x:row r="657">
      <x:c r="A657" t="n">
        <x:v>656</x:v>
      </x:c>
      <x:c r="B657" s="26" t="n">
        <x:v>46187</x:v>
      </x:c>
      <x:c r="C657" t="str">
        <x:v>CPO_Salario</x:v>
      </x:c>
      <x:c r="D657" t="str">
        <x:v>BAI Directo/App</x:v>
      </x:c>
      <x:c r="E657" t="str">
        <x:v>Premium</x:v>
      </x:c>
      <x:c r="F657" t="str">
        <x:v>Malanje</x:v>
      </x:c>
      <x:c r="G657" t="str">
        <x:v>iOS</x:v>
      </x:c>
      <x:c r="H657" t="n">
        <x:v>5907</x:v>
      </x:c>
      <x:c r="I657" t="n">
        <x:v>582</x:v>
      </x:c>
      <x:c r="J657" t="n">
        <x:v>131</x:v>
      </x:c>
      <x:c r="K657" t="n">
        <x:v>100</x:v>
      </x:c>
      <x:c r="L657" t="n">
        <x:v>84</x:v>
      </x:c>
      <x:c r="M657" s="28" t="n">
        <x:v>425524326.72</x:v>
      </x:c>
      <x:c r="N657" s="28" t="n">
        <x:v>73109.09</x:v>
      </x:c>
      <x:c r="O657" s="30" t="n">
        <x:f>IFERROR(I657/H657,0)</x:f>
        <x:v>0.09852717115286948</x:v>
      </x:c>
      <x:c r="P657" s="30" t="n">
        <x:f>IFERROR(J657/I657,0)</x:f>
        <x:v>0.22508591065292097</x:v>
      </x:c>
      <x:c r="Q657" s="30" t="n">
        <x:f>IFERROR(K657/J657,0)</x:f>
        <x:v>0.7633587786259542</x:v>
      </x:c>
      <x:c r="R657" s="30" t="n">
        <x:f>IFERROR(L657/K657,0)</x:f>
        <x:v>0.84</x:v>
      </x:c>
      <x:c r="S657" s="28" t="n">
        <x:f>IFERROR(N657/J657,0)</x:f>
        <x:v>558.0846564885496</x:v>
      </x:c>
      <x:c r="T657" s="28" t="n">
        <x:f>IFERROR(N657/K657,0)</x:f>
        <x:v>731.0908999999999</x:v>
      </x:c>
      <x:c r="U657" s="28" t="n">
        <x:f>IFERROR(N657/L657,0)</x:f>
        <x:v>870.3463095238095</x:v>
      </x:c>
    </x:row>
    <x:row r="658">
      <x:c r="A658" t="n">
        <x:v>657</x:v>
      </x:c>
      <x:c r="B658" s="26" t="n">
        <x:v>46187</x:v>
      </x:c>
      <x:c r="C658" t="str">
        <x:v>CPO_Fim_do_Mes</x:v>
      </x:c>
      <x:c r="D658" t="str">
        <x:v>E-mail</x:v>
      </x:c>
      <x:c r="E658" t="str">
        <x:v>Jovem Profissional</x:v>
      </x:c>
      <x:c r="F658" t="str">
        <x:v>Huíla</x:v>
      </x:c>
      <x:c r="G658" t="str">
        <x:v>Android</x:v>
      </x:c>
      <x:c r="H658" t="n">
        <x:v>4676</x:v>
      </x:c>
      <x:c r="I658" t="n">
        <x:v>365</x:v>
      </x:c>
      <x:c r="J658" t="n">
        <x:v>38</x:v>
      </x:c>
      <x:c r="K658" t="n">
        <x:v>18</x:v>
      </x:c>
      <x:c r="L658" t="n">
        <x:v>10</x:v>
      </x:c>
      <x:c r="M658" s="28" t="n">
        <x:v>13899275.38</x:v>
      </x:c>
      <x:c r="N658" s="28" t="n">
        <x:v>30165.26</x:v>
      </x:c>
      <x:c r="O658" s="30" t="n">
        <x:f>IFERROR(I658/H658,0)</x:f>
        <x:v>0.07805816937553464</x:v>
      </x:c>
      <x:c r="P658" s="30" t="n">
        <x:f>IFERROR(J658/I658,0)</x:f>
        <x:v>0.10410958904109589</x:v>
      </x:c>
      <x:c r="Q658" s="30" t="n">
        <x:f>IFERROR(K658/J658,0)</x:f>
        <x:v>0.47368421052631576</x:v>
      </x:c>
      <x:c r="R658" s="30" t="n">
        <x:f>IFERROR(L658/K658,0)</x:f>
        <x:v>0.5555555555555556</x:v>
      </x:c>
      <x:c r="S658" s="28" t="n">
        <x:f>IFERROR(N658/J658,0)</x:f>
        <x:v>793.8226315789474</x:v>
      </x:c>
      <x:c r="T658" s="28" t="n">
        <x:f>IFERROR(N658/K658,0)</x:f>
        <x:v>1675.8477777777778</x:v>
      </x:c>
      <x:c r="U658" s="28" t="n">
        <x:f>IFERROR(N658/L658,0)</x:f>
        <x:v>3016.526</x:v>
      </x:c>
    </x:row>
    <x:row r="659">
      <x:c r="A659" t="n">
        <x:v>658</x:v>
      </x:c>
      <x:c r="B659" s="26" t="n">
        <x:v>46188</x:v>
      </x:c>
      <x:c r="C659" t="str">
        <x:v>CPO_Always_On</x:v>
      </x:c>
      <x:c r="D659" t="str">
        <x:v>TikTok Ads</x:v>
      </x:c>
      <x:c r="E659" t="str">
        <x:v>Jovem Profissional</x:v>
      </x:c>
      <x:c r="F659" t="str">
        <x:v>Benguela</x:v>
      </x:c>
      <x:c r="G659" t="str">
        <x:v>Android</x:v>
      </x:c>
      <x:c r="H659" t="n">
        <x:v>19762</x:v>
      </x:c>
      <x:c r="I659" t="n">
        <x:v>224</x:v>
      </x:c>
      <x:c r="J659" t="n">
        <x:v>13</x:v>
      </x:c>
      <x:c r="K659" t="n">
        <x:v>8</x:v>
      </x:c>
      <x:c r="L659" t="n">
        <x:v>5</x:v>
      </x:c>
      <x:c r="M659" s="28" t="n">
        <x:v>6081919.86</x:v>
      </x:c>
      <x:c r="N659" s="28" t="n">
        <x:v>18170.42</x:v>
      </x:c>
      <x:c r="O659" s="30" t="n">
        <x:f>IFERROR(I659/H659,0)</x:f>
        <x:v>0.011334885133083696</x:v>
      </x:c>
      <x:c r="P659" s="30" t="n">
        <x:f>IFERROR(J659/I659,0)</x:f>
        <x:v>0.05803571428571429</x:v>
      </x:c>
      <x:c r="Q659" s="30" t="n">
        <x:f>IFERROR(K659/J659,0)</x:f>
        <x:v>0.6153846153846154</x:v>
      </x:c>
      <x:c r="R659" s="30" t="n">
        <x:f>IFERROR(L659/K659,0)</x:f>
        <x:v>0.625</x:v>
      </x:c>
      <x:c r="S659" s="28" t="n">
        <x:f>IFERROR(N659/J659,0)</x:f>
        <x:v>1397.7246153846152</x:v>
      </x:c>
      <x:c r="T659" s="28" t="n">
        <x:f>IFERROR(N659/K659,0)</x:f>
        <x:v>2271.3025</x:v>
      </x:c>
      <x:c r="U659" s="28" t="n">
        <x:f>IFERROR(N659/L659,0)</x:f>
        <x:v>3634.084</x:v>
      </x:c>
    </x:row>
    <x:row r="660">
      <x:c r="A660" t="n">
        <x:v>659</x:v>
      </x:c>
      <x:c r="B660" s="26" t="n">
        <x:v>46188</x:v>
      </x:c>
      <x:c r="C660" t="str">
        <x:v>CPO_Salario</x:v>
      </x:c>
      <x:c r="D660" t="str">
        <x:v>E-mail</x:v>
      </x:c>
      <x:c r="E660" t="str">
        <x:v>Jovem Profissional</x:v>
      </x:c>
      <x:c r="F660" t="str">
        <x:v>Luanda</x:v>
      </x:c>
      <x:c r="G660" t="str">
        <x:v>iOS</x:v>
      </x:c>
      <x:c r="H660" t="n">
        <x:v>9984</x:v>
      </x:c>
      <x:c r="I660" t="n">
        <x:v>537</x:v>
      </x:c>
      <x:c r="J660" t="n">
        <x:v>55</x:v>
      </x:c>
      <x:c r="K660" t="n">
        <x:v>29</x:v>
      </x:c>
      <x:c r="L660" t="n">
        <x:v>19</x:v>
      </x:c>
      <x:c r="M660" s="28" t="n">
        <x:v>25719923.49</x:v>
      </x:c>
      <x:c r="N660" s="28" t="n">
        <x:v>78281.94</x:v>
      </x:c>
      <x:c r="O660" s="30" t="n">
        <x:f>IFERROR(I660/H660,0)</x:f>
        <x:v>0.053786057692307696</x:v>
      </x:c>
      <x:c r="P660" s="30" t="n">
        <x:f>IFERROR(J660/I660,0)</x:f>
        <x:v>0.10242085661080075</x:v>
      </x:c>
      <x:c r="Q660" s="30" t="n">
        <x:f>IFERROR(K660/J660,0)</x:f>
        <x:v>0.5272727272727272</x:v>
      </x:c>
      <x:c r="R660" s="30" t="n">
        <x:f>IFERROR(L660/K660,0)</x:f>
        <x:v>0.6551724137931034</x:v>
      </x:c>
      <x:c r="S660" s="28" t="n">
        <x:f>IFERROR(N660/J660,0)</x:f>
        <x:v>1423.308</x:v>
      </x:c>
      <x:c r="T660" s="28" t="n">
        <x:f>IFERROR(N660/K660,0)</x:f>
        <x:v>2699.3772413793104</x:v>
      </x:c>
      <x:c r="U660" s="28" t="n">
        <x:f>IFERROR(N660/L660,0)</x:f>
        <x:v>4120.102105263158</x:v>
      </x:c>
    </x:row>
    <x:row r="661">
      <x:c r="A661" t="n">
        <x:v>660</x:v>
      </x:c>
      <x:c r="B661" s="26" t="n">
        <x:v>46188</x:v>
      </x:c>
      <x:c r="C661" t="str">
        <x:v>CPO_Premium</x:v>
      </x:c>
      <x:c r="D661" t="str">
        <x:v>Meta Ads</x:v>
      </x:c>
      <x:c r="E661" t="str">
        <x:v>Funcionário Público</x:v>
      </x:c>
      <x:c r="F661" t="str">
        <x:v>Luanda</x:v>
      </x:c>
      <x:c r="G661" t="str">
        <x:v>Android</x:v>
      </x:c>
      <x:c r="H661" t="n">
        <x:v>6582</x:v>
      </x:c>
      <x:c r="I661" t="n">
        <x:v>137</x:v>
      </x:c>
      <x:c r="J661" t="n">
        <x:v>16</x:v>
      </x:c>
      <x:c r="K661" t="n">
        <x:v>10</x:v>
      </x:c>
      <x:c r="L661" t="n">
        <x:v>9</x:v>
      </x:c>
      <x:c r="M661" s="28" t="n">
        <x:v>16789609.67</x:v>
      </x:c>
      <x:c r="N661" s="28" t="n">
        <x:v>18292.99</x:v>
      </x:c>
      <x:c r="O661" s="30" t="n">
        <x:f>IFERROR(I661/H661,0)</x:f>
        <x:v>0.020814342145244608</x:v>
      </x:c>
      <x:c r="P661" s="30" t="n">
        <x:f>IFERROR(J661/I661,0)</x:f>
        <x:v>0.11678832116788321</x:v>
      </x:c>
      <x:c r="Q661" s="30" t="n">
        <x:f>IFERROR(K661/J661,0)</x:f>
        <x:v>0.625</x:v>
      </x:c>
      <x:c r="R661" s="30" t="n">
        <x:f>IFERROR(L661/K661,0)</x:f>
        <x:v>0.9</x:v>
      </x:c>
      <x:c r="S661" s="28" t="n">
        <x:f>IFERROR(N661/J661,0)</x:f>
        <x:v>1143.311875</x:v>
      </x:c>
      <x:c r="T661" s="28" t="n">
        <x:f>IFERROR(N661/K661,0)</x:f>
        <x:v>1829.2990000000002</x:v>
      </x:c>
      <x:c r="U661" s="28" t="n">
        <x:f>IFERROR(N661/L661,0)</x:f>
        <x:v>2032.5544444444447</x:v>
      </x:c>
    </x:row>
    <x:row r="662">
      <x:c r="A662" t="n">
        <x:v>661</x:v>
      </x:c>
      <x:c r="B662" s="26" t="n">
        <x:v>46189</x:v>
      </x:c>
      <x:c r="C662" t="str">
        <x:v>CPO_Premium</x:v>
      </x:c>
      <x:c r="D662" t="str">
        <x:v>BAI Directo/App</x:v>
      </x:c>
      <x:c r="E662" t="str">
        <x:v>Funcionário Público</x:v>
      </x:c>
      <x:c r="F662" t="str">
        <x:v>Benguela</x:v>
      </x:c>
      <x:c r="G662" t="str">
        <x:v>Android</x:v>
      </x:c>
      <x:c r="H662" t="n">
        <x:v>10550</x:v>
      </x:c>
      <x:c r="I662" t="n">
        <x:v>834</x:v>
      </x:c>
      <x:c r="J662" t="n">
        <x:v>165</x:v>
      </x:c>
      <x:c r="K662" t="n">
        <x:v>104</x:v>
      </x:c>
      <x:c r="L662" t="n">
        <x:v>75</x:v>
      </x:c>
      <x:c r="M662" s="28" t="n">
        <x:v>132018772.9</x:v>
      </x:c>
      <x:c r="N662" s="28" t="n">
        <x:v>151218.94</x:v>
      </x:c>
      <x:c r="O662" s="30" t="n">
        <x:f>IFERROR(I662/H662,0)</x:f>
        <x:v>0.0790521327014218</x:v>
      </x:c>
      <x:c r="P662" s="30" t="n">
        <x:f>IFERROR(J662/I662,0)</x:f>
        <x:v>0.19784172661870503</x:v>
      </x:c>
      <x:c r="Q662" s="30" t="n">
        <x:f>IFERROR(K662/J662,0)</x:f>
        <x:v>0.6303030303030303</x:v>
      </x:c>
      <x:c r="R662" s="30" t="n">
        <x:f>IFERROR(L662/K662,0)</x:f>
        <x:v>0.7211538461538461</x:v>
      </x:c>
      <x:c r="S662" s="28" t="n">
        <x:f>IFERROR(N662/J662,0)</x:f>
        <x:v>916.4784242424242</x:v>
      </x:c>
      <x:c r="T662" s="28" t="n">
        <x:f>IFERROR(N662/K662,0)</x:f>
        <x:v>1454.0282692307692</x:v>
      </x:c>
      <x:c r="U662" s="28" t="n">
        <x:f>IFERROR(N662/L662,0)</x:f>
        <x:v>2016.2525333333333</x:v>
      </x:c>
    </x:row>
    <x:row r="663">
      <x:c r="A663" t="n">
        <x:v>662</x:v>
      </x:c>
      <x:c r="B663" s="26" t="n">
        <x:v>46189</x:v>
      </x:c>
      <x:c r="C663" t="str">
        <x:v>CPO_Premium</x:v>
      </x:c>
      <x:c r="D663" t="str">
        <x:v>TikTok Ads</x:v>
      </x:c>
      <x:c r="E663" t="str">
        <x:v>Pequeno Negócio</x:v>
      </x:c>
      <x:c r="F663" t="str">
        <x:v>Malanje</x:v>
      </x:c>
      <x:c r="G663" t="str">
        <x:v>Android</x:v>
      </x:c>
      <x:c r="H663" t="n">
        <x:v>27423</x:v>
      </x:c>
      <x:c r="I663" t="n">
        <x:v>420</x:v>
      </x:c>
      <x:c r="J663" t="n">
        <x:v>34</x:v>
      </x:c>
      <x:c r="K663" t="n">
        <x:v>12</x:v>
      </x:c>
      <x:c r="L663" t="n">
        <x:v>6</x:v>
      </x:c>
      <x:c r="M663" s="28" t="n">
        <x:v>17078116.5</x:v>
      </x:c>
      <x:c r="N663" s="28" t="n">
        <x:v>32342.74</x:v>
      </x:c>
      <x:c r="O663" s="30" t="n">
        <x:f>IFERROR(I663/H663,0)</x:f>
        <x:v>0.01531561098348102</x:v>
      </x:c>
      <x:c r="P663" s="30" t="n">
        <x:f>IFERROR(J663/I663,0)</x:f>
        <x:v>0.08095238095238096</x:v>
      </x:c>
      <x:c r="Q663" s="30" t="n">
        <x:f>IFERROR(K663/J663,0)</x:f>
        <x:v>0.35294117647058826</x:v>
      </x:c>
      <x:c r="R663" s="30" t="n">
        <x:f>IFERROR(L663/K663,0)</x:f>
        <x:v>0.5</x:v>
      </x:c>
      <x:c r="S663" s="28" t="n">
        <x:f>IFERROR(N663/J663,0)</x:f>
        <x:v>951.2570588235294</x:v>
      </x:c>
      <x:c r="T663" s="28" t="n">
        <x:f>IFERROR(N663/K663,0)</x:f>
        <x:v>2695.2283333333335</x:v>
      </x:c>
      <x:c r="U663" s="28" t="n">
        <x:f>IFERROR(N663/L663,0)</x:f>
        <x:v>5390.456666666667</x:v>
      </x:c>
    </x:row>
    <x:row r="664">
      <x:c r="A664" t="n">
        <x:v>663</x:v>
      </x:c>
      <x:c r="B664" s="26" t="n">
        <x:v>46189</x:v>
      </x:c>
      <x:c r="C664" t="str">
        <x:v>CPO_Salario</x:v>
      </x:c>
      <x:c r="D664" t="str">
        <x:v>BAI Directo/App</x:v>
      </x:c>
      <x:c r="E664" t="str">
        <x:v>Assalariado</x:v>
      </x:c>
      <x:c r="F664" t="str">
        <x:v>Luanda</x:v>
      </x:c>
      <x:c r="G664" t="str">
        <x:v>Android</x:v>
      </x:c>
      <x:c r="H664" t="n">
        <x:v>8097</x:v>
      </x:c>
      <x:c r="I664" t="n">
        <x:v>1112</x:v>
      </x:c>
      <x:c r="J664" t="n">
        <x:v>195</x:v>
      </x:c>
      <x:c r="K664" t="n">
        <x:v>129</x:v>
      </x:c>
      <x:c r="L664" t="n">
        <x:v>71</x:v>
      </x:c>
      <x:c r="M664" s="28" t="n">
        <x:v>160035789.43</x:v>
      </x:c>
      <x:c r="N664" s="28" t="n">
        <x:v>119901.77</x:v>
      </x:c>
      <x:c r="O664" s="30" t="n">
        <x:f>IFERROR(I664/H664,0)</x:f>
        <x:v>0.13733481536371495</x:v>
      </x:c>
      <x:c r="P664" s="30" t="n">
        <x:f>IFERROR(J664/I664,0)</x:f>
        <x:v>0.17535971223021582</x:v>
      </x:c>
      <x:c r="Q664" s="30" t="n">
        <x:f>IFERROR(K664/J664,0)</x:f>
        <x:v>0.6615384615384615</x:v>
      </x:c>
      <x:c r="R664" s="30" t="n">
        <x:f>IFERROR(L664/K664,0)</x:f>
        <x:v>0.5503875968992248</x:v>
      </x:c>
      <x:c r="S664" s="28" t="n">
        <x:f>IFERROR(N664/J664,0)</x:f>
        <x:v>614.8808717948718</x:v>
      </x:c>
      <x:c r="T664" s="28" t="n">
        <x:f>IFERROR(N664/K664,0)</x:f>
        <x:v>929.4710852713179</x:v>
      </x:c>
      <x:c r="U664" s="28" t="n">
        <x:f>IFERROR(N664/L664,0)</x:f>
        <x:v>1688.757323943662</x:v>
      </x:c>
    </x:row>
    <x:row r="665">
      <x:c r="A665" t="n">
        <x:v>664</x:v>
      </x:c>
      <x:c r="B665" s="26" t="n">
        <x:v>46189</x:v>
      </x:c>
      <x:c r="C665" t="str">
        <x:v>CPO_Fim_do_Mes</x:v>
      </x:c>
      <x:c r="D665" t="str">
        <x:v>Meta Ads</x:v>
      </x:c>
      <x:c r="E665" t="str">
        <x:v>Jovem Profissional</x:v>
      </x:c>
      <x:c r="F665" t="str">
        <x:v>Benguela</x:v>
      </x:c>
      <x:c r="G665" t="str">
        <x:v>Android</x:v>
      </x:c>
      <x:c r="H665" t="n">
        <x:v>18075</x:v>
      </x:c>
      <x:c r="I665" t="n">
        <x:v>332</x:v>
      </x:c>
      <x:c r="J665" t="n">
        <x:v>42</x:v>
      </x:c>
      <x:c r="K665" t="n">
        <x:v>27</x:v>
      </x:c>
      <x:c r="L665" t="n">
        <x:v>20</x:v>
      </x:c>
      <x:c r="M665" s="28" t="n">
        <x:v>27006009.49</x:v>
      </x:c>
      <x:c r="N665" s="28" t="n">
        <x:v>49888.32</x:v>
      </x:c>
      <x:c r="O665" s="30" t="n">
        <x:f>IFERROR(I665/H665,0)</x:f>
        <x:v>0.018367911479944675</x:v>
      </x:c>
      <x:c r="P665" s="30" t="n">
        <x:f>IFERROR(J665/I665,0)</x:f>
        <x:v>0.12650602409638553</x:v>
      </x:c>
      <x:c r="Q665" s="30" t="n">
        <x:f>IFERROR(K665/J665,0)</x:f>
        <x:v>0.6428571428571429</x:v>
      </x:c>
      <x:c r="R665" s="30" t="n">
        <x:f>IFERROR(L665/K665,0)</x:f>
        <x:v>0.7407407407407407</x:v>
      </x:c>
      <x:c r="S665" s="28" t="n">
        <x:f>IFERROR(N665/J665,0)</x:f>
        <x:v>1187.817142857143</x:v>
      </x:c>
      <x:c r="T665" s="28" t="n">
        <x:f>IFERROR(N665/K665,0)</x:f>
        <x:v>1847.7155555555555</x:v>
      </x:c>
      <x:c r="U665" s="28" t="n">
        <x:f>IFERROR(N665/L665,0)</x:f>
        <x:v>2494.416</x:v>
      </x:c>
    </x:row>
    <x:row r="666">
      <x:c r="A666" t="n">
        <x:v>665</x:v>
      </x:c>
      <x:c r="B666" s="26" t="n">
        <x:v>46190</x:v>
      </x:c>
      <x:c r="C666" t="str">
        <x:v>CPO_Fim_do_Mes</x:v>
      </x:c>
      <x:c r="D666" t="str">
        <x:v>Google Ads</x:v>
      </x:c>
      <x:c r="E666" t="str">
        <x:v>Premium</x:v>
      </x:c>
      <x:c r="F666" t="str">
        <x:v>Huambo</x:v>
      </x:c>
      <x:c r="G666" t="str">
        <x:v>Android</x:v>
      </x:c>
      <x:c r="H666" t="n">
        <x:v>13429</x:v>
      </x:c>
      <x:c r="I666" t="n">
        <x:v>362</x:v>
      </x:c>
      <x:c r="J666" t="n">
        <x:v>49</x:v>
      </x:c>
      <x:c r="K666" t="n">
        <x:v>36</x:v>
      </x:c>
      <x:c r="L666" t="n">
        <x:v>34</x:v>
      </x:c>
      <x:c r="M666" s="28" t="n">
        <x:v>182603184.41</x:v>
      </x:c>
      <x:c r="N666" s="28" t="n">
        <x:v>65061.03</x:v>
      </x:c>
      <x:c r="O666" s="30" t="n">
        <x:f>IFERROR(I666/H666,0)</x:f>
        <x:v>0.02695658649192047</x:v>
      </x:c>
      <x:c r="P666" s="30" t="n">
        <x:f>IFERROR(J666/I666,0)</x:f>
        <x:v>0.13535911602209943</x:v>
      </x:c>
      <x:c r="Q666" s="30" t="n">
        <x:f>IFERROR(K666/J666,0)</x:f>
        <x:v>0.7346938775510204</x:v>
      </x:c>
      <x:c r="R666" s="30" t="n">
        <x:f>IFERROR(L666/K666,0)</x:f>
        <x:v>0.9444444444444444</x:v>
      </x:c>
      <x:c r="S666" s="28" t="n">
        <x:f>IFERROR(N666/J666,0)</x:f>
        <x:v>1327.7761224489795</x:v>
      </x:c>
      <x:c r="T666" s="28" t="n">
        <x:f>IFERROR(N666/K666,0)</x:f>
        <x:v>1807.2508333333333</x:v>
      </x:c>
      <x:c r="U666" s="28" t="n">
        <x:f>IFERROR(N666/L666,0)</x:f>
        <x:v>1913.559705882353</x:v>
      </x:c>
    </x:row>
    <x:row r="667">
      <x:c r="A667" t="n">
        <x:v>666</x:v>
      </x:c>
      <x:c r="B667" s="26" t="n">
        <x:v>46190</x:v>
      </x:c>
      <x:c r="C667" t="str">
        <x:v>CPO_Premium</x:v>
      </x:c>
      <x:c r="D667" t="str">
        <x:v>SMS</x:v>
      </x:c>
      <x:c r="E667" t="str">
        <x:v>Funcionário Público</x:v>
      </x:c>
      <x:c r="F667" t="str">
        <x:v>Luanda</x:v>
      </x:c>
      <x:c r="G667" t="str">
        <x:v>iOS</x:v>
      </x:c>
      <x:c r="H667" t="n">
        <x:v>8251</x:v>
      </x:c>
      <x:c r="I667" t="n">
        <x:v>641</x:v>
      </x:c>
      <x:c r="J667" t="n">
        <x:v>86</x:v>
      </x:c>
      <x:c r="K667" t="n">
        <x:v>55</x:v>
      </x:c>
      <x:c r="L667" t="n">
        <x:v>33</x:v>
      </x:c>
      <x:c r="M667" s="28" t="n">
        <x:v>53771778.02</x:v>
      </x:c>
      <x:c r="N667" s="28" t="n">
        <x:v>137951.66</x:v>
      </x:c>
      <x:c r="O667" s="30" t="n">
        <x:f>IFERROR(I667/H667,0)</x:f>
        <x:v>0.0776875530238759</x:v>
      </x:c>
      <x:c r="P667" s="30" t="n">
        <x:f>IFERROR(J667/I667,0)</x:f>
        <x:v>0.13416536661466458</x:v>
      </x:c>
      <x:c r="Q667" s="30" t="n">
        <x:f>IFERROR(K667/J667,0)</x:f>
        <x:v>0.6395348837209303</x:v>
      </x:c>
      <x:c r="R667" s="30" t="n">
        <x:f>IFERROR(L667/K667,0)</x:f>
        <x:v>0.6</x:v>
      </x:c>
      <x:c r="S667" s="28" t="n">
        <x:f>IFERROR(N667/J667,0)</x:f>
        <x:v>1604.089069767442</x:v>
      </x:c>
      <x:c r="T667" s="28" t="n">
        <x:f>IFERROR(N667/K667,0)</x:f>
        <x:v>2508.212</x:v>
      </x:c>
      <x:c r="U667" s="28" t="n">
        <x:f>IFERROR(N667/L667,0)</x:f>
        <x:v>4180.3533333333335</x:v>
      </x:c>
    </x:row>
    <x:row r="668">
      <x:c r="A668" t="n">
        <x:v>667</x:v>
      </x:c>
      <x:c r="B668" s="26" t="n">
        <x:v>46190</x:v>
      </x:c>
      <x:c r="C668" t="str">
        <x:v>CPO_Acesso_Rapido</x:v>
      </x:c>
      <x:c r="D668" t="str">
        <x:v>Meta Ads</x:v>
      </x:c>
      <x:c r="E668" t="str">
        <x:v>Premium</x:v>
      </x:c>
      <x:c r="F668" t="str">
        <x:v>Luanda</x:v>
      </x:c>
      <x:c r="G668" t="str">
        <x:v>Android</x:v>
      </x:c>
      <x:c r="H668" t="n">
        <x:v>19930</x:v>
      </x:c>
      <x:c r="I668" t="n">
        <x:v>318</x:v>
      </x:c>
      <x:c r="J668" t="n">
        <x:v>34</x:v>
      </x:c>
      <x:c r="K668" t="n">
        <x:v>25</x:v>
      </x:c>
      <x:c r="L668" t="n">
        <x:v>17</x:v>
      </x:c>
      <x:c r="M668" s="28" t="n">
        <x:v>93954644.75</x:v>
      </x:c>
      <x:c r="N668" s="28" t="n">
        <x:v>45305.04</x:v>
      </x:c>
      <x:c r="O668" s="30" t="n">
        <x:f>IFERROR(I668/H668,0)</x:f>
        <x:v>0.015955845459106874</x:v>
      </x:c>
      <x:c r="P668" s="30" t="n">
        <x:f>IFERROR(J668/I668,0)</x:f>
        <x:v>0.1069182389937107</x:v>
      </x:c>
      <x:c r="Q668" s="30" t="n">
        <x:f>IFERROR(K668/J668,0)</x:f>
        <x:v>0.7352941176470589</x:v>
      </x:c>
      <x:c r="R668" s="30" t="n">
        <x:f>IFERROR(L668/K668,0)</x:f>
        <x:v>0.68</x:v>
      </x:c>
      <x:c r="S668" s="28" t="n">
        <x:f>IFERROR(N668/J668,0)</x:f>
        <x:v>1332.5011764705882</x:v>
      </x:c>
      <x:c r="T668" s="28" t="n">
        <x:f>IFERROR(N668/K668,0)</x:f>
        <x:v>1812.2016</x:v>
      </x:c>
      <x:c r="U668" s="28" t="n">
        <x:f>IFERROR(N668/L668,0)</x:f>
        <x:v>2665.0023529411765</x:v>
      </x:c>
    </x:row>
    <x:row r="669">
      <x:c r="A669" t="n">
        <x:v>668</x:v>
      </x:c>
      <x:c r="B669" s="26" t="n">
        <x:v>46191</x:v>
      </x:c>
      <x:c r="C669" t="str">
        <x:v>CPO_Digital_360</x:v>
      </x:c>
      <x:c r="D669" t="str">
        <x:v>Google Ads</x:v>
      </x:c>
      <x:c r="E669" t="str">
        <x:v>Pequeno Negócio</x:v>
      </x:c>
      <x:c r="F669" t="str">
        <x:v>Benguela</x:v>
      </x:c>
      <x:c r="G669" t="str">
        <x:v>Android</x:v>
      </x:c>
      <x:c r="H669" t="n">
        <x:v>5189</x:v>
      </x:c>
      <x:c r="I669" t="n">
        <x:v>104</x:v>
      </x:c>
      <x:c r="J669" t="n">
        <x:v>15</x:v>
      </x:c>
      <x:c r="K669" t="n">
        <x:v>6</x:v>
      </x:c>
      <x:c r="L669" t="n">
        <x:v>2</x:v>
      </x:c>
      <x:c r="M669" s="28" t="n">
        <x:v>5256218.71</x:v>
      </x:c>
      <x:c r="N669" s="28" t="n">
        <x:v>17717.08</x:v>
      </x:c>
      <x:c r="O669" s="30" t="n">
        <x:f>IFERROR(I669/H669,0)</x:f>
        <x:v>0.02004239737907111</x:v>
      </x:c>
      <x:c r="P669" s="30" t="n">
        <x:f>IFERROR(J669/I669,0)</x:f>
        <x:v>0.14423076923076922</x:v>
      </x:c>
      <x:c r="Q669" s="30" t="n">
        <x:f>IFERROR(K669/J669,0)</x:f>
        <x:v>0.4</x:v>
      </x:c>
      <x:c r="R669" s="30" t="n">
        <x:f>IFERROR(L669/K669,0)</x:f>
        <x:v>0.3333333333333333</x:v>
      </x:c>
      <x:c r="S669" s="28" t="n">
        <x:f>IFERROR(N669/J669,0)</x:f>
        <x:v>1181.1386666666667</x:v>
      </x:c>
      <x:c r="T669" s="28" t="n">
        <x:f>IFERROR(N669/K669,0)</x:f>
        <x:v>2952.846666666667</x:v>
      </x:c>
      <x:c r="U669" s="28" t="n">
        <x:f>IFERROR(N669/L669,0)</x:f>
        <x:v>8858.54</x:v>
      </x:c>
    </x:row>
    <x:row r="670">
      <x:c r="A670" t="n">
        <x:v>669</x:v>
      </x:c>
      <x:c r="B670" s="26" t="n">
        <x:v>46191</x:v>
      </x:c>
      <x:c r="C670" t="str">
        <x:v>CPO_Salario</x:v>
      </x:c>
      <x:c r="D670" t="str">
        <x:v>SMS</x:v>
      </x:c>
      <x:c r="E670" t="str">
        <x:v>Premium</x:v>
      </x:c>
      <x:c r="F670" t="str">
        <x:v>Luanda</x:v>
      </x:c>
      <x:c r="G670" t="str">
        <x:v>Android</x:v>
      </x:c>
      <x:c r="H670" t="n">
        <x:v>6904</x:v>
      </x:c>
      <x:c r="I670" t="n">
        <x:v>758</x:v>
      </x:c>
      <x:c r="J670" t="n">
        <x:v>111</x:v>
      </x:c>
      <x:c r="K670" t="n">
        <x:v>88</x:v>
      </x:c>
      <x:c r="L670" t="n">
        <x:v>67</x:v>
      </x:c>
      <x:c r="M670" s="28" t="n">
        <x:v>363439955.02</x:v>
      </x:c>
      <x:c r="N670" s="28" t="n">
        <x:v>30102.6</x:v>
      </x:c>
      <x:c r="O670" s="30" t="n">
        <x:f>IFERROR(I670/H670,0)</x:f>
        <x:v>0.10979142526071843</x:v>
      </x:c>
      <x:c r="P670" s="30" t="n">
        <x:f>IFERROR(J670/I670,0)</x:f>
        <x:v>0.14643799472295516</x:v>
      </x:c>
      <x:c r="Q670" s="30" t="n">
        <x:f>IFERROR(K670/J670,0)</x:f>
        <x:v>0.7927927927927928</x:v>
      </x:c>
      <x:c r="R670" s="30" t="n">
        <x:f>IFERROR(L670/K670,0)</x:f>
        <x:v>0.7613636363636364</x:v>
      </x:c>
      <x:c r="S670" s="28" t="n">
        <x:f>IFERROR(N670/J670,0)</x:f>
        <x:v>271.1945945945946</x:v>
      </x:c>
      <x:c r="T670" s="28" t="n">
        <x:f>IFERROR(N670/K670,0)</x:f>
        <x:v>342.075</x:v>
      </x:c>
      <x:c r="U670" s="28" t="n">
        <x:f>IFERROR(N670/L670,0)</x:f>
        <x:v>449.29253731343283</x:v>
      </x:c>
    </x:row>
    <x:row r="671">
      <x:c r="A671" t="n">
        <x:v>670</x:v>
      </x:c>
      <x:c r="B671" s="26" t="n">
        <x:v>46191</x:v>
      </x:c>
      <x:c r="C671" t="str">
        <x:v>CPO_Salario</x:v>
      </x:c>
      <x:c r="D671" t="str">
        <x:v>Meta Ads</x:v>
      </x:c>
      <x:c r="E671" t="str">
        <x:v>Premium</x:v>
      </x:c>
      <x:c r="F671" t="str">
        <x:v>Huambo</x:v>
      </x:c>
      <x:c r="G671" t="str">
        <x:v>Android</x:v>
      </x:c>
      <x:c r="H671" t="n">
        <x:v>5247</x:v>
      </x:c>
      <x:c r="I671" t="n">
        <x:v>102</x:v>
      </x:c>
      <x:c r="J671" t="n">
        <x:v>10</x:v>
      </x:c>
      <x:c r="K671" t="n">
        <x:v>8</x:v>
      </x:c>
      <x:c r="L671" t="n">
        <x:v>5</x:v>
      </x:c>
      <x:c r="M671" s="28" t="n">
        <x:v>30129832.37</x:v>
      </x:c>
      <x:c r="N671" s="28" t="n">
        <x:v>9135.14</x:v>
      </x:c>
      <x:c r="O671" s="30" t="n">
        <x:f>IFERROR(I671/H671,0)</x:f>
        <x:v>0.019439679817038306</x:v>
      </x:c>
      <x:c r="P671" s="30" t="n">
        <x:f>IFERROR(J671/I671,0)</x:f>
        <x:v>0.09803921568627451</x:v>
      </x:c>
      <x:c r="Q671" s="30" t="n">
        <x:f>IFERROR(K671/J671,0)</x:f>
        <x:v>0.8</x:v>
      </x:c>
      <x:c r="R671" s="30" t="n">
        <x:f>IFERROR(L671/K671,0)</x:f>
        <x:v>0.625</x:v>
      </x:c>
      <x:c r="S671" s="28" t="n">
        <x:f>IFERROR(N671/J671,0)</x:f>
        <x:v>913.5139999999999</x:v>
      </x:c>
      <x:c r="T671" s="28" t="n">
        <x:f>IFERROR(N671/K671,0)</x:f>
        <x:v>1141.8925</x:v>
      </x:c>
      <x:c r="U671" s="28" t="n">
        <x:f>IFERROR(N671/L671,0)</x:f>
        <x:v>1827.0279999999998</x:v>
      </x:c>
    </x:row>
    <x:row r="672">
      <x:c r="A672" t="n">
        <x:v>671</x:v>
      </x:c>
      <x:c r="B672" s="26" t="n">
        <x:v>46191</x:v>
      </x:c>
      <x:c r="C672" t="str">
        <x:v>CPO_Always_On</x:v>
      </x:c>
      <x:c r="D672" t="str">
        <x:v>Meta Ads</x:v>
      </x:c>
      <x:c r="E672" t="str">
        <x:v>Funcionário Público</x:v>
      </x:c>
      <x:c r="F672" t="str">
        <x:v>Luanda</x:v>
      </x:c>
      <x:c r="G672" t="str">
        <x:v>Android</x:v>
      </x:c>
      <x:c r="H672" t="n">
        <x:v>5770</x:v>
      </x:c>
      <x:c r="I672" t="n">
        <x:v>136</x:v>
      </x:c>
      <x:c r="J672" t="n">
        <x:v>13</x:v>
      </x:c>
      <x:c r="K672" t="n">
        <x:v>10</x:v>
      </x:c>
      <x:c r="L672" t="n">
        <x:v>6</x:v>
      </x:c>
      <x:c r="M672" s="28" t="n">
        <x:v>9355280.99</x:v>
      </x:c>
      <x:c r="N672" s="28" t="n">
        <x:v>14642.17</x:v>
      </x:c>
      <x:c r="O672" s="30" t="n">
        <x:f>IFERROR(I672/H672,0)</x:f>
        <x:v>0.023570190641247834</x:v>
      </x:c>
      <x:c r="P672" s="30" t="n">
        <x:f>IFERROR(J672/I672,0)</x:f>
        <x:v>0.09558823529411764</x:v>
      </x:c>
      <x:c r="Q672" s="30" t="n">
        <x:f>IFERROR(K672/J672,0)</x:f>
        <x:v>0.7692307692307693</x:v>
      </x:c>
      <x:c r="R672" s="30" t="n">
        <x:f>IFERROR(L672/K672,0)</x:f>
        <x:v>0.6</x:v>
      </x:c>
      <x:c r="S672" s="28" t="n">
        <x:f>IFERROR(N672/J672,0)</x:f>
        <x:v>1126.3207692307692</x:v>
      </x:c>
      <x:c r="T672" s="28" t="n">
        <x:f>IFERROR(N672/K672,0)</x:f>
        <x:v>1464.217</x:v>
      </x:c>
      <x:c r="U672" s="28" t="n">
        <x:f>IFERROR(N672/L672,0)</x:f>
        <x:v>2440.3616666666667</x:v>
      </x:c>
    </x:row>
    <x:row r="673">
      <x:c r="A673" t="n">
        <x:v>672</x:v>
      </x:c>
      <x:c r="B673" s="26" t="n">
        <x:v>46191</x:v>
      </x:c>
      <x:c r="C673" t="str">
        <x:v>CPO_Acesso_Rapido</x:v>
      </x:c>
      <x:c r="D673" t="str">
        <x:v>BAI Directo/App</x:v>
      </x:c>
      <x:c r="E673" t="str">
        <x:v>Premium</x:v>
      </x:c>
      <x:c r="F673" t="str">
        <x:v>Luanda</x:v>
      </x:c>
      <x:c r="G673" t="str">
        <x:v>Desktop</x:v>
      </x:c>
      <x:c r="H673" t="n">
        <x:v>10048</x:v>
      </x:c>
      <x:c r="I673" t="n">
        <x:v>1097</x:v>
      </x:c>
      <x:c r="J673" t="n">
        <x:v>204</x:v>
      </x:c>
      <x:c r="K673" t="n">
        <x:v>142</x:v>
      </x:c>
      <x:c r="L673" t="n">
        <x:v>104</x:v>
      </x:c>
      <x:c r="M673" s="28" t="n">
        <x:v>528682872.19</x:v>
      </x:c>
      <x:c r="N673" s="28" t="n">
        <x:v>125785.53</x:v>
      </x:c>
      <x:c r="O673" s="30" t="n">
        <x:f>IFERROR(I673/H673,0)</x:f>
        <x:v>0.10917595541401273</x:v>
      </x:c>
      <x:c r="P673" s="30" t="n">
        <x:f>IFERROR(J673/I673,0)</x:f>
        <x:v>0.18596171376481313</x:v>
      </x:c>
      <x:c r="Q673" s="30" t="n">
        <x:f>IFERROR(K673/J673,0)</x:f>
        <x:v>0.696078431372549</x:v>
      </x:c>
      <x:c r="R673" s="30" t="n">
        <x:f>IFERROR(L673/K673,0)</x:f>
        <x:v>0.7323943661971831</x:v>
      </x:c>
      <x:c r="S673" s="28" t="n">
        <x:f>IFERROR(N673/J673,0)</x:f>
        <x:v>616.5957352941176</x:v>
      </x:c>
      <x:c r="T673" s="28" t="n">
        <x:f>IFERROR(N673/K673,0)</x:f>
        <x:v>885.8135915492958</x:v>
      </x:c>
      <x:c r="U673" s="28" t="n">
        <x:f>IFERROR(N673/L673,0)</x:f>
        <x:v>1209.47625</x:v>
      </x:c>
    </x:row>
    <x:row r="674">
      <x:c r="A674" t="n">
        <x:v>673</x:v>
      </x:c>
      <x:c r="B674" s="26" t="n">
        <x:v>46192</x:v>
      </x:c>
      <x:c r="C674" t="str">
        <x:v>CPO_Always_On</x:v>
      </x:c>
      <x:c r="D674" t="str">
        <x:v>E-mail</x:v>
      </x:c>
      <x:c r="E674" t="str">
        <x:v>Pequeno Negócio</x:v>
      </x:c>
      <x:c r="F674" t="str">
        <x:v>Luanda</x:v>
      </x:c>
      <x:c r="G674" t="str">
        <x:v>Android</x:v>
      </x:c>
      <x:c r="H674" t="n">
        <x:v>5153</x:v>
      </x:c>
      <x:c r="I674" t="n">
        <x:v>291</x:v>
      </x:c>
      <x:c r="J674" t="n">
        <x:v>31</x:v>
      </x:c>
      <x:c r="K674" t="n">
        <x:v>11</x:v>
      </x:c>
      <x:c r="L674" t="n">
        <x:v>6</x:v>
      </x:c>
      <x:c r="M674" s="28" t="n">
        <x:v>17173281.77</x:v>
      </x:c>
      <x:c r="N674" s="28" t="n">
        <x:v>49685.03</x:v>
      </x:c>
      <x:c r="O674" s="30" t="n">
        <x:f>IFERROR(I674/H674,0)</x:f>
        <x:v>0.05647195808267029</x:v>
      </x:c>
      <x:c r="P674" s="30" t="n">
        <x:f>IFERROR(J674/I674,0)</x:f>
        <x:v>0.10652920962199312</x:v>
      </x:c>
      <x:c r="Q674" s="30" t="n">
        <x:f>IFERROR(K674/J674,0)</x:f>
        <x:v>0.3548387096774194</x:v>
      </x:c>
      <x:c r="R674" s="30" t="n">
        <x:f>IFERROR(L674/K674,0)</x:f>
        <x:v>0.5454545454545454</x:v>
      </x:c>
      <x:c r="S674" s="28" t="n">
        <x:f>IFERROR(N674/J674,0)</x:f>
        <x:v>1602.7429032258065</x:v>
      </x:c>
      <x:c r="T674" s="28" t="n">
        <x:f>IFERROR(N674/K674,0)</x:f>
        <x:v>4516.820909090909</x:v>
      </x:c>
      <x:c r="U674" s="28" t="n">
        <x:f>IFERROR(N674/L674,0)</x:f>
        <x:v>8280.838333333333</x:v>
      </x:c>
    </x:row>
    <x:row r="675">
      <x:c r="A675" t="n">
        <x:v>674</x:v>
      </x:c>
      <x:c r="B675" s="26" t="n">
        <x:v>46192</x:v>
      </x:c>
      <x:c r="C675" t="str">
        <x:v>CPO_Fim_do_Mes</x:v>
      </x:c>
      <x:c r="D675" t="str">
        <x:v>SMS</x:v>
      </x:c>
      <x:c r="E675" t="str">
        <x:v>Premium</x:v>
      </x:c>
      <x:c r="F675" t="str">
        <x:v>Luanda</x:v>
      </x:c>
      <x:c r="G675" t="str">
        <x:v>Desktop</x:v>
      </x:c>
      <x:c r="H675" t="n">
        <x:v>11114</x:v>
      </x:c>
      <x:c r="I675" t="n">
        <x:v>984</x:v>
      </x:c>
      <x:c r="J675" t="n">
        <x:v>120</x:v>
      </x:c>
      <x:c r="K675" t="n">
        <x:v>71</x:v>
      </x:c>
      <x:c r="L675" t="n">
        <x:v>64</x:v>
      </x:c>
      <x:c r="M675" s="28" t="n">
        <x:v>310664156.39</x:v>
      </x:c>
      <x:c r="N675" s="28" t="n">
        <x:v>94617.92</x:v>
      </x:c>
      <x:c r="O675" s="30" t="n">
        <x:f>IFERROR(I675/H675,0)</x:f>
        <x:v>0.08853698038509987</x:v>
      </x:c>
      <x:c r="P675" s="30" t="n">
        <x:f>IFERROR(J675/I675,0)</x:f>
        <x:v>0.12195121951219512</x:v>
      </x:c>
      <x:c r="Q675" s="30" t="n">
        <x:f>IFERROR(K675/J675,0)</x:f>
        <x:v>0.5916666666666667</x:v>
      </x:c>
      <x:c r="R675" s="30" t="n">
        <x:f>IFERROR(L675/K675,0)</x:f>
        <x:v>0.9014084507042254</x:v>
      </x:c>
      <x:c r="S675" s="28" t="n">
        <x:f>IFERROR(N675/J675,0)</x:f>
        <x:v>788.4826666666667</x:v>
      </x:c>
      <x:c r="T675" s="28" t="n">
        <x:f>IFERROR(N675/K675,0)</x:f>
        <x:v>1332.6467605633802</x:v>
      </x:c>
      <x:c r="U675" s="28" t="n">
        <x:f>IFERROR(N675/L675,0)</x:f>
        <x:v>1478.405</x:v>
      </x:c>
    </x:row>
    <x:row r="676">
      <x:c r="A676" t="n">
        <x:v>675</x:v>
      </x:c>
      <x:c r="B676" s="26" t="n">
        <x:v>46192</x:v>
      </x:c>
      <x:c r="C676" t="str">
        <x:v>CPO_Salario</x:v>
      </x:c>
      <x:c r="D676" t="str">
        <x:v>BAI Directo/App</x:v>
      </x:c>
      <x:c r="E676" t="str">
        <x:v>Pequeno Negócio</x:v>
      </x:c>
      <x:c r="F676" t="str">
        <x:v>Huíla</x:v>
      </x:c>
      <x:c r="G676" t="str">
        <x:v>Desktop</x:v>
      </x:c>
      <x:c r="H676" t="n">
        <x:v>9510</x:v>
      </x:c>
      <x:c r="I676" t="n">
        <x:v>1350</x:v>
      </x:c>
      <x:c r="J676" t="n">
        <x:v>238</x:v>
      </x:c>
      <x:c r="K676" t="n">
        <x:v>128</x:v>
      </x:c>
      <x:c r="L676" t="n">
        <x:v>51</x:v>
      </x:c>
      <x:c r="M676" s="28" t="n">
        <x:v>157186330.28</x:v>
      </x:c>
      <x:c r="N676" s="28" t="n">
        <x:v>98859.27</x:v>
      </x:c>
      <x:c r="O676" s="30" t="n">
        <x:f>IFERROR(I676/H676,0)</x:f>
        <x:v>0.14195583596214512</x:v>
      </x:c>
      <x:c r="P676" s="30" t="n">
        <x:f>IFERROR(J676/I676,0)</x:f>
        <x:v>0.17629629629629628</x:v>
      </x:c>
      <x:c r="Q676" s="30" t="n">
        <x:f>IFERROR(K676/J676,0)</x:f>
        <x:v>0.5378151260504201</x:v>
      </x:c>
      <x:c r="R676" s="30" t="n">
        <x:f>IFERROR(L676/K676,0)</x:f>
        <x:v>0.3984375</x:v>
      </x:c>
      <x:c r="S676" s="28" t="n">
        <x:f>IFERROR(N676/J676,0)</x:f>
        <x:v>415.37508403361346</x:v>
      </x:c>
      <x:c r="T676" s="28" t="n">
        <x:f>IFERROR(N676/K676,0)</x:f>
        <x:v>772.338046875</x:v>
      </x:c>
      <x:c r="U676" s="28" t="n">
        <x:f>IFERROR(N676/L676,0)</x:f>
        <x:v>1938.4170588235295</x:v>
      </x:c>
    </x:row>
    <x:row r="677">
      <x:c r="A677" t="n">
        <x:v>676</x:v>
      </x:c>
      <x:c r="B677" s="26" t="n">
        <x:v>46192</x:v>
      </x:c>
      <x:c r="C677" t="str">
        <x:v>CPO_Digital_360</x:v>
      </x:c>
      <x:c r="D677" t="str">
        <x:v>TikTok Ads</x:v>
      </x:c>
      <x:c r="E677" t="str">
        <x:v>Premium</x:v>
      </x:c>
      <x:c r="F677" t="str">
        <x:v>Luanda</x:v>
      </x:c>
      <x:c r="G677" t="str">
        <x:v>Android</x:v>
      </x:c>
      <x:c r="H677" t="n">
        <x:v>12929</x:v>
      </x:c>
      <x:c r="I677" t="n">
        <x:v>234</x:v>
      </x:c>
      <x:c r="J677" t="n">
        <x:v>22</x:v>
      </x:c>
      <x:c r="K677" t="n">
        <x:v>17</x:v>
      </x:c>
      <x:c r="L677" t="n">
        <x:v>12</x:v>
      </x:c>
      <x:c r="M677" s="28" t="n">
        <x:v>64100512.01</x:v>
      </x:c>
      <x:c r="N677" s="28" t="n">
        <x:v>14271.03</x:v>
      </x:c>
      <x:c r="O677" s="30" t="n">
        <x:f>IFERROR(I677/H677,0)</x:f>
        <x:v>0.018098847552014852</x:v>
      </x:c>
      <x:c r="P677" s="30" t="n">
        <x:f>IFERROR(J677/I677,0)</x:f>
        <x:v>0.09401709401709402</x:v>
      </x:c>
      <x:c r="Q677" s="30" t="n">
        <x:f>IFERROR(K677/J677,0)</x:f>
        <x:v>0.7727272727272727</x:v>
      </x:c>
      <x:c r="R677" s="30" t="n">
        <x:f>IFERROR(L677/K677,0)</x:f>
        <x:v>0.7058823529411765</x:v>
      </x:c>
      <x:c r="S677" s="28" t="n">
        <x:f>IFERROR(N677/J677,0)</x:f>
        <x:v>648.6831818181819</x:v>
      </x:c>
      <x:c r="T677" s="28" t="n">
        <x:f>IFERROR(N677/K677,0)</x:f>
        <x:v>839.4723529411765</x:v>
      </x:c>
      <x:c r="U677" s="28" t="n">
        <x:f>IFERROR(N677/L677,0)</x:f>
        <x:v>1189.2525</x:v>
      </x:c>
    </x:row>
    <x:row r="678">
      <x:c r="A678" t="n">
        <x:v>677</x:v>
      </x:c>
      <x:c r="B678" s="26" t="n">
        <x:v>46192</x:v>
      </x:c>
      <x:c r="C678" t="str">
        <x:v>CPO_Fim_do_Mes</x:v>
      </x:c>
      <x:c r="D678" t="str">
        <x:v>Google Ads</x:v>
      </x:c>
      <x:c r="E678" t="str">
        <x:v>Assalariado</x:v>
      </x:c>
      <x:c r="F678" t="str">
        <x:v>Luanda</x:v>
      </x:c>
      <x:c r="G678" t="str">
        <x:v>iOS</x:v>
      </x:c>
      <x:c r="H678" t="n">
        <x:v>18077</x:v>
      </x:c>
      <x:c r="I678" t="n">
        <x:v>521</x:v>
      </x:c>
      <x:c r="J678" t="n">
        <x:v>78</x:v>
      </x:c>
      <x:c r="K678" t="n">
        <x:v>50</x:v>
      </x:c>
      <x:c r="L678" t="n">
        <x:v>36</x:v>
      </x:c>
      <x:c r="M678" s="28" t="n">
        <x:v>73479998.78</x:v>
      </x:c>
      <x:c r="N678" s="28" t="n">
        <x:v>67697.04</x:v>
      </x:c>
      <x:c r="O678" s="30" t="n">
        <x:f>IFERROR(I678/H678,0)</x:f>
        <x:v>0.02882115395253637</x:v>
      </x:c>
      <x:c r="P678" s="30" t="n">
        <x:f>IFERROR(J678/I678,0)</x:f>
        <x:v>0.14971209213051823</x:v>
      </x:c>
      <x:c r="Q678" s="30" t="n">
        <x:f>IFERROR(K678/J678,0)</x:f>
        <x:v>0.6410256410256411</x:v>
      </x:c>
      <x:c r="R678" s="30" t="n">
        <x:f>IFERROR(L678/K678,0)</x:f>
        <x:v>0.72</x:v>
      </x:c>
      <x:c r="S678" s="28" t="n">
        <x:f>IFERROR(N678/J678,0)</x:f>
        <x:v>867.9107692307691</x:v>
      </x:c>
      <x:c r="T678" s="28" t="n">
        <x:f>IFERROR(N678/K678,0)</x:f>
        <x:v>1353.9407999999999</x:v>
      </x:c>
      <x:c r="U678" s="28" t="n">
        <x:f>IFERROR(N678/L678,0)</x:f>
        <x:v>1880.4733333333331</x:v>
      </x:c>
    </x:row>
    <x:row r="679">
      <x:c r="A679" t="n">
        <x:v>678</x:v>
      </x:c>
      <x:c r="B679" s="26" t="n">
        <x:v>46193</x:v>
      </x:c>
      <x:c r="C679" t="str">
        <x:v>CPO_Digital_360</x:v>
      </x:c>
      <x:c r="D679" t="str">
        <x:v>Meta Ads</x:v>
      </x:c>
      <x:c r="E679" t="str">
        <x:v>Pequeno Negócio</x:v>
      </x:c>
      <x:c r="F679" t="str">
        <x:v>Uíge</x:v>
      </x:c>
      <x:c r="G679" t="str">
        <x:v>Android</x:v>
      </x:c>
      <x:c r="H679" t="n">
        <x:v>27001</x:v>
      </x:c>
      <x:c r="I679" t="n">
        <x:v>442</x:v>
      </x:c>
      <x:c r="J679" t="n">
        <x:v>53</x:v>
      </x:c>
      <x:c r="K679" t="n">
        <x:v>20</x:v>
      </x:c>
      <x:c r="L679" t="n">
        <x:v>9</x:v>
      </x:c>
      <x:c r="M679" s="28" t="n">
        <x:v>28936324.11</x:v>
      </x:c>
      <x:c r="N679" s="28" t="n">
        <x:v>64168.11</x:v>
      </x:c>
      <x:c r="O679" s="30" t="n">
        <x:f>IFERROR(I679/H679,0)</x:f>
        <x:v>0.01636976408281175</x:v>
      </x:c>
      <x:c r="P679" s="30" t="n">
        <x:f>IFERROR(J679/I679,0)</x:f>
        <x:v>0.11990950226244344</x:v>
      </x:c>
      <x:c r="Q679" s="30" t="n">
        <x:f>IFERROR(K679/J679,0)</x:f>
        <x:v>0.37735849056603776</x:v>
      </x:c>
      <x:c r="R679" s="30" t="n">
        <x:f>IFERROR(L679/K679,0)</x:f>
        <x:v>0.45</x:v>
      </x:c>
      <x:c r="S679" s="28" t="n">
        <x:f>IFERROR(N679/J679,0)</x:f>
        <x:v>1210.7190566037737</x:v>
      </x:c>
      <x:c r="T679" s="28" t="n">
        <x:f>IFERROR(N679/K679,0)</x:f>
        <x:v>3208.4055</x:v>
      </x:c>
      <x:c r="U679" s="28" t="n">
        <x:f>IFERROR(N679/L679,0)</x:f>
        <x:v>7129.79</x:v>
      </x:c>
    </x:row>
    <x:row r="680">
      <x:c r="A680" t="n">
        <x:v>679</x:v>
      </x:c>
      <x:c r="B680" s="26" t="n">
        <x:v>46193</x:v>
      </x:c>
      <x:c r="C680" t="str">
        <x:v>CPO_Premium</x:v>
      </x:c>
      <x:c r="D680" t="str">
        <x:v>BAI Directo/App</x:v>
      </x:c>
      <x:c r="E680" t="str">
        <x:v>Pequeno Negócio</x:v>
      </x:c>
      <x:c r="F680" t="str">
        <x:v>Cuanza Sul</x:v>
      </x:c>
      <x:c r="G680" t="str">
        <x:v>Android</x:v>
      </x:c>
      <x:c r="H680" t="n">
        <x:v>11165</x:v>
      </x:c>
      <x:c r="I680" t="n">
        <x:v>1367</x:v>
      </x:c>
      <x:c r="J680" t="n">
        <x:v>274</x:v>
      </x:c>
      <x:c r="K680" t="n">
        <x:v>89</x:v>
      </x:c>
      <x:c r="L680" t="n">
        <x:v>44</x:v>
      </x:c>
      <x:c r="M680" s="28" t="n">
        <x:v>136792801.18</x:v>
      </x:c>
      <x:c r="N680" s="28" t="n">
        <x:v>90277.94</x:v>
      </x:c>
      <x:c r="O680" s="30" t="n">
        <x:f>IFERROR(I680/H680,0)</x:f>
        <x:v>0.12243618450515002</x:v>
      </x:c>
      <x:c r="P680" s="30" t="n">
        <x:f>IFERROR(J680/I680,0)</x:f>
        <x:v>0.20043891733723482</x:v>
      </x:c>
      <x:c r="Q680" s="30" t="n">
        <x:f>IFERROR(K680/J680,0)</x:f>
        <x:v>0.3248175182481752</x:v>
      </x:c>
      <x:c r="R680" s="30" t="n">
        <x:f>IFERROR(L680/K680,0)</x:f>
        <x:v>0.4943820224719101</x:v>
      </x:c>
      <x:c r="S680" s="28" t="n">
        <x:f>IFERROR(N680/J680,0)</x:f>
        <x:v>329.4815328467153</x:v>
      </x:c>
      <x:c r="T680" s="28" t="n">
        <x:f>IFERROR(N680/K680,0)</x:f>
        <x:v>1014.3588764044944</x:v>
      </x:c>
      <x:c r="U680" s="28" t="n">
        <x:f>IFERROR(N680/L680,0)</x:f>
        <x:v>2051.7713636363637</x:v>
      </x:c>
    </x:row>
    <x:row r="681">
      <x:c r="A681" t="n">
        <x:v>680</x:v>
      </x:c>
      <x:c r="B681" s="26" t="n">
        <x:v>46193</x:v>
      </x:c>
      <x:c r="C681" t="str">
        <x:v>CPO_Fim_do_Mes</x:v>
      </x:c>
      <x:c r="D681" t="str">
        <x:v>BAI Directo/App</x:v>
      </x:c>
      <x:c r="E681" t="str">
        <x:v>Assalariado</x:v>
      </x:c>
      <x:c r="F681" t="str">
        <x:v>Luanda</x:v>
      </x:c>
      <x:c r="G681" t="str">
        <x:v>Android</x:v>
      </x:c>
      <x:c r="H681" t="n">
        <x:v>3813</x:v>
      </x:c>
      <x:c r="I681" t="n">
        <x:v>283</x:v>
      </x:c>
      <x:c r="J681" t="n">
        <x:v>57</x:v>
      </x:c>
      <x:c r="K681" t="n">
        <x:v>39</x:v>
      </x:c>
      <x:c r="L681" t="n">
        <x:v>32</x:v>
      </x:c>
      <x:c r="M681" s="28" t="n">
        <x:v>71003798.39</x:v>
      </x:c>
      <x:c r="N681" s="28" t="n">
        <x:v>60920.05</x:v>
      </x:c>
      <x:c r="O681" s="30" t="n">
        <x:f>IFERROR(I681/H681,0)</x:f>
        <x:v>0.07421977445580907</x:v>
      </x:c>
      <x:c r="P681" s="30" t="n">
        <x:f>IFERROR(J681/I681,0)</x:f>
        <x:v>0.20141342756183744</x:v>
      </x:c>
      <x:c r="Q681" s="30" t="n">
        <x:f>IFERROR(K681/J681,0)</x:f>
        <x:v>0.6842105263157895</x:v>
      </x:c>
      <x:c r="R681" s="30" t="n">
        <x:f>IFERROR(L681/K681,0)</x:f>
        <x:v>0.8205128205128205</x:v>
      </x:c>
      <x:c r="S681" s="28" t="n">
        <x:f>IFERROR(N681/J681,0)</x:f>
        <x:v>1068.772807017544</x:v>
      </x:c>
      <x:c r="T681" s="28" t="n">
        <x:f>IFERROR(N681/K681,0)</x:f>
        <x:v>1562.0525641025642</x:v>
      </x:c>
      <x:c r="U681" s="28" t="n">
        <x:f>IFERROR(N681/L681,0)</x:f>
        <x:v>1903.7515625</x:v>
      </x:c>
    </x:row>
    <x:row r="682">
      <x:c r="A682" t="n">
        <x:v>681</x:v>
      </x:c>
      <x:c r="B682" s="26" t="n">
        <x:v>46193</x:v>
      </x:c>
      <x:c r="C682" t="str">
        <x:v>CPO_Acesso_Rapido</x:v>
      </x:c>
      <x:c r="D682" t="str">
        <x:v>TikTok Ads</x:v>
      </x:c>
      <x:c r="E682" t="str">
        <x:v>Jovem Profissional</x:v>
      </x:c>
      <x:c r="F682" t="str">
        <x:v>Luanda</x:v>
      </x:c>
      <x:c r="G682" t="str">
        <x:v>Android</x:v>
      </x:c>
      <x:c r="H682" t="n">
        <x:v>4169</x:v>
      </x:c>
      <x:c r="I682" t="n">
        <x:v>59</x:v>
      </x:c>
      <x:c r="J682" t="n">
        <x:v>4</x:v>
      </x:c>
      <x:c r="K682" t="n">
        <x:v>3</x:v>
      </x:c>
      <x:c r="L682" t="n">
        <x:v>2</x:v>
      </x:c>
      <x:c r="M682" s="28" t="n">
        <x:v>1992736.05</x:v>
      </x:c>
      <x:c r="N682" s="28" t="n">
        <x:v>9212.41</x:v>
      </x:c>
      <x:c r="O682" s="30" t="n">
        <x:f>IFERROR(I682/H682,0)</x:f>
        <x:v>0.014152074838090669</x:v>
      </x:c>
      <x:c r="P682" s="30" t="n">
        <x:f>IFERROR(J682/I682,0)</x:f>
        <x:v>0.06779661016949153</x:v>
      </x:c>
      <x:c r="Q682" s="30" t="n">
        <x:f>IFERROR(K682/J682,0)</x:f>
        <x:v>0.75</x:v>
      </x:c>
      <x:c r="R682" s="30" t="n">
        <x:f>IFERROR(L682/K682,0)</x:f>
        <x:v>0.6666666666666666</x:v>
      </x:c>
      <x:c r="S682" s="28" t="n">
        <x:f>IFERROR(N682/J682,0)</x:f>
        <x:v>2303.1025</x:v>
      </x:c>
      <x:c r="T682" s="28" t="n">
        <x:f>IFERROR(N682/K682,0)</x:f>
        <x:v>3070.8033333333333</x:v>
      </x:c>
      <x:c r="U682" s="28" t="n">
        <x:f>IFERROR(N682/L682,0)</x:f>
        <x:v>4606.205</x:v>
      </x:c>
    </x:row>
    <x:row r="683">
      <x:c r="A683" t="n">
        <x:v>682</x:v>
      </x:c>
      <x:c r="B683" s="26" t="n">
        <x:v>46194</x:v>
      </x:c>
      <x:c r="C683" t="str">
        <x:v>CPO_Always_On</x:v>
      </x:c>
      <x:c r="D683" t="str">
        <x:v>TikTok Ads</x:v>
      </x:c>
      <x:c r="E683" t="str">
        <x:v>Jovem Profissional</x:v>
      </x:c>
      <x:c r="F683" t="str">
        <x:v>Huíla</x:v>
      </x:c>
      <x:c r="G683" t="str">
        <x:v>iOS</x:v>
      </x:c>
      <x:c r="H683" t="n">
        <x:v>11098</x:v>
      </x:c>
      <x:c r="I683" t="n">
        <x:v>152</x:v>
      </x:c>
      <x:c r="J683" t="n">
        <x:v>10</x:v>
      </x:c>
      <x:c r="K683" t="n">
        <x:v>6</x:v>
      </x:c>
      <x:c r="L683" t="n">
        <x:v>5</x:v>
      </x:c>
      <x:c r="M683" s="28" t="n">
        <x:v>5740767.29</x:v>
      </x:c>
      <x:c r="N683" s="28" t="n">
        <x:v>22956.28</x:v>
      </x:c>
      <x:c r="O683" s="30" t="n">
        <x:f>IFERROR(I683/H683,0)</x:f>
        <x:v>0.013696161470535232</x:v>
      </x:c>
      <x:c r="P683" s="30" t="n">
        <x:f>IFERROR(J683/I683,0)</x:f>
        <x:v>0.06578947368421052</x:v>
      </x:c>
      <x:c r="Q683" s="30" t="n">
        <x:f>IFERROR(K683/J683,0)</x:f>
        <x:v>0.6</x:v>
      </x:c>
      <x:c r="R683" s="30" t="n">
        <x:f>IFERROR(L683/K683,0)</x:f>
        <x:v>0.8333333333333334</x:v>
      </x:c>
      <x:c r="S683" s="28" t="n">
        <x:f>IFERROR(N683/J683,0)</x:f>
        <x:v>2295.6279999999997</x:v>
      </x:c>
      <x:c r="T683" s="28" t="n">
        <x:f>IFERROR(N683/K683,0)</x:f>
        <x:v>3826.0466666666666</x:v>
      </x:c>
      <x:c r="U683" s="28" t="n">
        <x:f>IFERROR(N683/L683,0)</x:f>
        <x:v>4591.255999999999</x:v>
      </x:c>
    </x:row>
    <x:row r="684">
      <x:c r="A684" t="n">
        <x:v>683</x:v>
      </x:c>
      <x:c r="B684" s="26" t="n">
        <x:v>46194</x:v>
      </x:c>
      <x:c r="C684" t="str">
        <x:v>CPO_Always_On</x:v>
      </x:c>
      <x:c r="D684" t="str">
        <x:v>SMS</x:v>
      </x:c>
      <x:c r="E684" t="str">
        <x:v>Premium</x:v>
      </x:c>
      <x:c r="F684" t="str">
        <x:v>Luanda</x:v>
      </x:c>
      <x:c r="G684" t="str">
        <x:v>Android</x:v>
      </x:c>
      <x:c r="H684" t="n">
        <x:v>7029</x:v>
      </x:c>
      <x:c r="I684" t="n">
        <x:v>756</x:v>
      </x:c>
      <x:c r="J684" t="n">
        <x:v>74</x:v>
      </x:c>
      <x:c r="K684" t="n">
        <x:v>55</x:v>
      </x:c>
      <x:c r="L684" t="n">
        <x:v>40</x:v>
      </x:c>
      <x:c r="M684" s="28" t="n">
        <x:v>187890750.56</x:v>
      </x:c>
      <x:c r="N684" s="28" t="n">
        <x:v>106134.77</x:v>
      </x:c>
      <x:c r="O684" s="30" t="n">
        <x:f>IFERROR(I684/H684,0)</x:f>
        <x:v>0.10755441741357234</x:v>
      </x:c>
      <x:c r="P684" s="30" t="n">
        <x:f>IFERROR(J684/I684,0)</x:f>
        <x:v>0.09788359788359788</x:v>
      </x:c>
      <x:c r="Q684" s="30" t="n">
        <x:f>IFERROR(K684/J684,0)</x:f>
        <x:v>0.7432432432432432</x:v>
      </x:c>
      <x:c r="R684" s="30" t="n">
        <x:f>IFERROR(L684/K684,0)</x:f>
        <x:v>0.7272727272727273</x:v>
      </x:c>
      <x:c r="S684" s="28" t="n">
        <x:f>IFERROR(N684/J684,0)</x:f>
        <x:v>1434.2536486486488</x:v>
      </x:c>
      <x:c r="T684" s="28" t="n">
        <x:f>IFERROR(N684/K684,0)</x:f>
        <x:v>1929.723090909091</x:v>
      </x:c>
      <x:c r="U684" s="28" t="n">
        <x:f>IFERROR(N684/L684,0)</x:f>
        <x:v>2653.36925</x:v>
      </x:c>
    </x:row>
    <x:row r="685">
      <x:c r="A685" t="n">
        <x:v>684</x:v>
      </x:c>
      <x:c r="B685" s="26" t="n">
        <x:v>46194</x:v>
      </x:c>
      <x:c r="C685" t="str">
        <x:v>CPO_Digital_360</x:v>
      </x:c>
      <x:c r="D685" t="str">
        <x:v>BAI Directo/App</x:v>
      </x:c>
      <x:c r="E685" t="str">
        <x:v>Jovem Profissional</x:v>
      </x:c>
      <x:c r="F685" t="str">
        <x:v>Malanje</x:v>
      </x:c>
      <x:c r="G685" t="str">
        <x:v>Android</x:v>
      </x:c>
      <x:c r="H685" t="n">
        <x:v>6132</x:v>
      </x:c>
      <x:c r="I685" t="n">
        <x:v>548</x:v>
      </x:c>
      <x:c r="J685" t="n">
        <x:v>55</x:v>
      </x:c>
      <x:c r="K685" t="n">
        <x:v>24</x:v>
      </x:c>
      <x:c r="L685" t="n">
        <x:v>12</x:v>
      </x:c>
      <x:c r="M685" s="28" t="n">
        <x:v>15657364.49</x:v>
      </x:c>
      <x:c r="N685" s="28" t="n">
        <x:v>22012.07</x:v>
      </x:c>
      <x:c r="O685" s="30" t="n">
        <x:f>IFERROR(I685/H685,0)</x:f>
        <x:v>0.08936725375081539</x:v>
      </x:c>
      <x:c r="P685" s="30" t="n">
        <x:f>IFERROR(J685/I685,0)</x:f>
        <x:v>0.10036496350364964</x:v>
      </x:c>
      <x:c r="Q685" s="30" t="n">
        <x:f>IFERROR(K685/J685,0)</x:f>
        <x:v>0.43636363636363634</x:v>
      </x:c>
      <x:c r="R685" s="30" t="n">
        <x:f>IFERROR(L685/K685,0)</x:f>
        <x:v>0.5</x:v>
      </x:c>
      <x:c r="S685" s="28" t="n">
        <x:f>IFERROR(N685/J685,0)</x:f>
        <x:v>400.21945454545454</x:v>
      </x:c>
      <x:c r="T685" s="28" t="n">
        <x:f>IFERROR(N685/K685,0)</x:f>
        <x:v>917.1695833333333</x:v>
      </x:c>
      <x:c r="U685" s="28" t="n">
        <x:f>IFERROR(N685/L685,0)</x:f>
        <x:v>1834.3391666666666</x:v>
      </x:c>
    </x:row>
    <x:row r="686">
      <x:c r="A686" t="n">
        <x:v>685</x:v>
      </x:c>
      <x:c r="B686" s="26" t="n">
        <x:v>46194</x:v>
      </x:c>
      <x:c r="C686" t="str">
        <x:v>CPO_Premium</x:v>
      </x:c>
      <x:c r="D686" t="str">
        <x:v>Meta Ads</x:v>
      </x:c>
      <x:c r="E686" t="str">
        <x:v>Funcionário Público</x:v>
      </x:c>
      <x:c r="F686" t="str">
        <x:v>Huambo</x:v>
      </x:c>
      <x:c r="G686" t="str">
        <x:v>Desktop</x:v>
      </x:c>
      <x:c r="H686" t="n">
        <x:v>21268</x:v>
      </x:c>
      <x:c r="I686" t="n">
        <x:v>287</x:v>
      </x:c>
      <x:c r="J686" t="n">
        <x:v>33</x:v>
      </x:c>
      <x:c r="K686" t="n">
        <x:v>21</x:v>
      </x:c>
      <x:c r="L686" t="n">
        <x:v>17</x:v>
      </x:c>
      <x:c r="M686" s="28" t="n">
        <x:v>32596001.1</x:v>
      </x:c>
      <x:c r="N686" s="28" t="n">
        <x:v>27602.62</x:v>
      </x:c>
      <x:c r="O686" s="30" t="n">
        <x:f>IFERROR(I686/H686,0)</x:f>
        <x:v>0.013494451758510438</x:v>
      </x:c>
      <x:c r="P686" s="30" t="n">
        <x:f>IFERROR(J686/I686,0)</x:f>
        <x:v>0.11498257839721254</x:v>
      </x:c>
      <x:c r="Q686" s="30" t="n">
        <x:f>IFERROR(K686/J686,0)</x:f>
        <x:v>0.6363636363636364</x:v>
      </x:c>
      <x:c r="R686" s="30" t="n">
        <x:f>IFERROR(L686/K686,0)</x:f>
        <x:v>0.8095238095238095</x:v>
      </x:c>
      <x:c r="S686" s="28" t="n">
        <x:f>IFERROR(N686/J686,0)</x:f>
        <x:v>836.4430303030302</x:v>
      </x:c>
      <x:c r="T686" s="28" t="n">
        <x:f>IFERROR(N686/K686,0)</x:f>
        <x:v>1314.4104761904762</x:v>
      </x:c>
      <x:c r="U686" s="28" t="n">
        <x:f>IFERROR(N686/L686,0)</x:f>
        <x:v>1623.6835294117645</x:v>
      </x:c>
    </x:row>
    <x:row r="687">
      <x:c r="A687" t="n">
        <x:v>686</x:v>
      </x:c>
      <x:c r="B687" s="26" t="n">
        <x:v>46194</x:v>
      </x:c>
      <x:c r="C687" t="str">
        <x:v>CPO_Always_On</x:v>
      </x:c>
      <x:c r="D687" t="str">
        <x:v>Google Ads</x:v>
      </x:c>
      <x:c r="E687" t="str">
        <x:v>Funcionário Público</x:v>
      </x:c>
      <x:c r="F687" t="str">
        <x:v>Benguela</x:v>
      </x:c>
      <x:c r="G687" t="str">
        <x:v>Android</x:v>
      </x:c>
      <x:c r="H687" t="n">
        <x:v>14166</x:v>
      </x:c>
      <x:c r="I687" t="n">
        <x:v>402</x:v>
      </x:c>
      <x:c r="J687" t="n">
        <x:v>49</x:v>
      </x:c>
      <x:c r="K687" t="n">
        <x:v>35</x:v>
      </x:c>
      <x:c r="L687" t="n">
        <x:v>25</x:v>
      </x:c>
      <x:c r="M687" s="28" t="n">
        <x:v>47309618.97</x:v>
      </x:c>
      <x:c r="N687" s="28" t="n">
        <x:v>21736.37</x:v>
      </x:c>
      <x:c r="O687" s="30" t="n">
        <x:f>IFERROR(I687/H687,0)</x:f>
        <x:v>0.028377806014400677</x:v>
      </x:c>
      <x:c r="P687" s="30" t="n">
        <x:f>IFERROR(J687/I687,0)</x:f>
        <x:v>0.12189054726368159</x:v>
      </x:c>
      <x:c r="Q687" s="30" t="n">
        <x:f>IFERROR(K687/J687,0)</x:f>
        <x:v>0.7142857142857143</x:v>
      </x:c>
      <x:c r="R687" s="30" t="n">
        <x:f>IFERROR(L687/K687,0)</x:f>
        <x:v>0.7142857142857143</x:v>
      </x:c>
      <x:c r="S687" s="28" t="n">
        <x:f>IFERROR(N687/J687,0)</x:f>
        <x:v>443.59938775510204</x:v>
      </x:c>
      <x:c r="T687" s="28" t="n">
        <x:f>IFERROR(N687/K687,0)</x:f>
        <x:v>621.0391428571428</x:v>
      </x:c>
      <x:c r="U687" s="28" t="n">
        <x:f>IFERROR(N687/L687,0)</x:f>
        <x:v>869.4548</x:v>
      </x:c>
    </x:row>
    <x:row r="688">
      <x:c r="A688" t="n">
        <x:v>687</x:v>
      </x:c>
      <x:c r="B688" s="26" t="n">
        <x:v>46195</x:v>
      </x:c>
      <x:c r="C688" t="str">
        <x:v>CPO_Always_On</x:v>
      </x:c>
      <x:c r="D688" t="str">
        <x:v>TikTok Ads</x:v>
      </x:c>
      <x:c r="E688" t="str">
        <x:v>Pequeno Negócio</x:v>
      </x:c>
      <x:c r="F688" t="str">
        <x:v>Malanje</x:v>
      </x:c>
      <x:c r="G688" t="str">
        <x:v>Android</x:v>
      </x:c>
      <x:c r="H688" t="n">
        <x:v>2860</x:v>
      </x:c>
      <x:c r="I688" t="n">
        <x:v>49</x:v>
      </x:c>
      <x:c r="J688" t="n">
        <x:v>3</x:v>
      </x:c>
      <x:c r="K688" t="n">
        <x:v>1</x:v>
      </x:c>
      <x:c r="L688" t="n">
        <x:v>0</x:v>
      </x:c>
      <x:c r="M688" s="28" t="n">
        <x:v>0</x:v>
      </x:c>
      <x:c r="N688" s="28" t="n">
        <x:v>4792.68</x:v>
      </x:c>
      <x:c r="O688" s="30" t="n">
        <x:f>IFERROR(I688/H688,0)</x:f>
        <x:v>0.017132867132867134</x:v>
      </x:c>
      <x:c r="P688" s="30" t="n">
        <x:f>IFERROR(J688/I688,0)</x:f>
        <x:v>0.061224489795918366</x:v>
      </x:c>
      <x:c r="Q688" s="30" t="n">
        <x:f>IFERROR(K688/J688,0)</x:f>
        <x:v>0.3333333333333333</x:v>
      </x:c>
      <x:c r="R688" s="30" t="n">
        <x:f>IFERROR(L688/K688,0)</x:f>
        <x:v>0</x:v>
      </x:c>
      <x:c r="S688" s="28" t="n">
        <x:f>IFERROR(N688/J688,0)</x:f>
        <x:v>1597.5600000000002</x:v>
      </x:c>
      <x:c r="T688" s="28" t="n">
        <x:f>IFERROR(N688/K688,0)</x:f>
        <x:v>4792.68</x:v>
      </x:c>
      <x:c r="U688" s="28" t="n">
        <x:f>IFERROR(N688/L688,0)</x:f>
        <x:v>0</x:v>
      </x:c>
    </x:row>
    <x:row r="689">
      <x:c r="A689" t="n">
        <x:v>688</x:v>
      </x:c>
      <x:c r="B689" s="26" t="n">
        <x:v>46195</x:v>
      </x:c>
      <x:c r="C689" t="str">
        <x:v>CPO_Salario</x:v>
      </x:c>
      <x:c r="D689" t="str">
        <x:v>BAI Directo/App</x:v>
      </x:c>
      <x:c r="E689" t="str">
        <x:v>Funcionário Público</x:v>
      </x:c>
      <x:c r="F689" t="str">
        <x:v>Cuanza Sul</x:v>
      </x:c>
      <x:c r="G689" t="str">
        <x:v>Android</x:v>
      </x:c>
      <x:c r="H689" t="n">
        <x:v>7287</x:v>
      </x:c>
      <x:c r="I689" t="n">
        <x:v>689</x:v>
      </x:c>
      <x:c r="J689" t="n">
        <x:v>159</x:v>
      </x:c>
      <x:c r="K689" t="n">
        <x:v>99</x:v>
      </x:c>
      <x:c r="L689" t="n">
        <x:v>77</x:v>
      </x:c>
      <x:c r="M689" s="28" t="n">
        <x:v>144630423.34</x:v>
      </x:c>
      <x:c r="N689" s="28" t="n">
        <x:v>94207.34</x:v>
      </x:c>
      <x:c r="O689" s="30" t="n">
        <x:f>IFERROR(I689/H689,0)</x:f>
        <x:v>0.09455194181418965</x:v>
      </x:c>
      <x:c r="P689" s="30" t="n">
        <x:f>IFERROR(J689/I689,0)</x:f>
        <x:v>0.23076923076923078</x:v>
      </x:c>
      <x:c r="Q689" s="30" t="n">
        <x:f>IFERROR(K689/J689,0)</x:f>
        <x:v>0.6226415094339622</x:v>
      </x:c>
      <x:c r="R689" s="30" t="n">
        <x:f>IFERROR(L689/K689,0)</x:f>
        <x:v>0.7777777777777778</x:v>
      </x:c>
      <x:c r="S689" s="28" t="n">
        <x:f>IFERROR(N689/J689,0)</x:f>
        <x:v>592.4989937106918</x:v>
      </x:c>
      <x:c r="T689" s="28" t="n">
        <x:f>IFERROR(N689/K689,0)</x:f>
        <x:v>951.5892929292929</x:v>
      </x:c>
      <x:c r="U689" s="28" t="n">
        <x:f>IFERROR(N689/L689,0)</x:f>
        <x:v>1223.471948051948</x:v>
      </x:c>
    </x:row>
    <x:row r="690">
      <x:c r="A690" t="n">
        <x:v>689</x:v>
      </x:c>
      <x:c r="B690" s="26" t="n">
        <x:v>46195</x:v>
      </x:c>
      <x:c r="C690" t="str">
        <x:v>CPO_Acesso_Rapido</x:v>
      </x:c>
      <x:c r="D690" t="str">
        <x:v>Google Ads</x:v>
      </x:c>
      <x:c r="E690" t="str">
        <x:v>Jovem Profissional</x:v>
      </x:c>
      <x:c r="F690" t="str">
        <x:v>Luanda</x:v>
      </x:c>
      <x:c r="G690" t="str">
        <x:v>Android</x:v>
      </x:c>
      <x:c r="H690" t="n">
        <x:v>5693</x:v>
      </x:c>
      <x:c r="I690" t="n">
        <x:v>209</x:v>
      </x:c>
      <x:c r="J690" t="n">
        <x:v>38</x:v>
      </x:c>
      <x:c r="K690" t="n">
        <x:v>15</x:v>
      </x:c>
      <x:c r="L690" t="n">
        <x:v>8</x:v>
      </x:c>
      <x:c r="M690" s="28" t="n">
        <x:v>9377540.23</x:v>
      </x:c>
      <x:c r="N690" s="28" t="n">
        <x:v>9725.24</x:v>
      </x:c>
      <x:c r="O690" s="30" t="n">
        <x:f>IFERROR(I690/H690,0)</x:f>
        <x:v>0.03671175127349376</x:v>
      </x:c>
      <x:c r="P690" s="30" t="n">
        <x:f>IFERROR(J690/I690,0)</x:f>
        <x:v>0.18181818181818182</x:v>
      </x:c>
      <x:c r="Q690" s="30" t="n">
        <x:f>IFERROR(K690/J690,0)</x:f>
        <x:v>0.39473684210526316</x:v>
      </x:c>
      <x:c r="R690" s="30" t="n">
        <x:f>IFERROR(L690/K690,0)</x:f>
        <x:v>0.5333333333333333</x:v>
      </x:c>
      <x:c r="S690" s="28" t="n">
        <x:f>IFERROR(N690/J690,0)</x:f>
        <x:v>255.92736842105262</x:v>
      </x:c>
      <x:c r="T690" s="28" t="n">
        <x:f>IFERROR(N690/K690,0)</x:f>
        <x:v>648.3493333333333</x:v>
      </x:c>
      <x:c r="U690" s="28" t="n">
        <x:f>IFERROR(N690/L690,0)</x:f>
        <x:v>1215.655</x:v>
      </x:c>
    </x:row>
    <x:row r="691">
      <x:c r="A691" t="n">
        <x:v>690</x:v>
      </x:c>
      <x:c r="B691" s="26" t="n">
        <x:v>46195</x:v>
      </x:c>
      <x:c r="C691" t="str">
        <x:v>CPO_Salario</x:v>
      </x:c>
      <x:c r="D691" t="str">
        <x:v>SMS</x:v>
      </x:c>
      <x:c r="E691" t="str">
        <x:v>Funcionário Público</x:v>
      </x:c>
      <x:c r="F691" t="str">
        <x:v>Luanda</x:v>
      </x:c>
      <x:c r="G691" t="str">
        <x:v>Desktop</x:v>
      </x:c>
      <x:c r="H691" t="n">
        <x:v>8519</x:v>
      </x:c>
      <x:c r="I691" t="n">
        <x:v>537</x:v>
      </x:c>
      <x:c r="J691" t="n">
        <x:v>84</x:v>
      </x:c>
      <x:c r="K691" t="n">
        <x:v>54</x:v>
      </x:c>
      <x:c r="L691" t="n">
        <x:v>42</x:v>
      </x:c>
      <x:c r="M691" s="28" t="n">
        <x:v>73110491.34</x:v>
      </x:c>
      <x:c r="N691" s="28" t="n">
        <x:v>153092.69</x:v>
      </x:c>
      <x:c r="O691" s="30" t="n">
        <x:f>IFERROR(I691/H691,0)</x:f>
        <x:v>0.06303556755487734</x:v>
      </x:c>
      <x:c r="P691" s="30" t="n">
        <x:f>IFERROR(J691/I691,0)</x:f>
        <x:v>0.1564245810055866</x:v>
      </x:c>
      <x:c r="Q691" s="30" t="n">
        <x:f>IFERROR(K691/J691,0)</x:f>
        <x:v>0.6428571428571429</x:v>
      </x:c>
      <x:c r="R691" s="30" t="n">
        <x:f>IFERROR(L691/K691,0)</x:f>
        <x:v>0.7777777777777778</x:v>
      </x:c>
      <x:c r="S691" s="28" t="n">
        <x:f>IFERROR(N691/J691,0)</x:f>
        <x:v>1822.532023809524</x:v>
      </x:c>
      <x:c r="T691" s="28" t="n">
        <x:f>IFERROR(N691/K691,0)</x:f>
        <x:v>2835.049814814815</x:v>
      </x:c>
      <x:c r="U691" s="28" t="n">
        <x:f>IFERROR(N691/L691,0)</x:f>
        <x:v>3645.064047619048</x:v>
      </x:c>
    </x:row>
    <x:row r="692">
      <x:c r="A692" t="n">
        <x:v>691</x:v>
      </x:c>
      <x:c r="B692" s="26" t="n">
        <x:v>46195</x:v>
      </x:c>
      <x:c r="C692" t="str">
        <x:v>CPO_Fim_do_Mes</x:v>
      </x:c>
      <x:c r="D692" t="str">
        <x:v>BAI Directo/App</x:v>
      </x:c>
      <x:c r="E692" t="str">
        <x:v>Pequeno Negócio</x:v>
      </x:c>
      <x:c r="F692" t="str">
        <x:v>Benguela</x:v>
      </x:c>
      <x:c r="G692" t="str">
        <x:v>Android</x:v>
      </x:c>
      <x:c r="H692" t="n">
        <x:v>2032</x:v>
      </x:c>
      <x:c r="I692" t="n">
        <x:v>220</x:v>
      </x:c>
      <x:c r="J692" t="n">
        <x:v>38</x:v>
      </x:c>
      <x:c r="K692" t="n">
        <x:v>15</x:v>
      </x:c>
      <x:c r="L692" t="n">
        <x:v>7</x:v>
      </x:c>
      <x:c r="M692" s="28" t="n">
        <x:v>22829820.4</x:v>
      </x:c>
      <x:c r="N692" s="28" t="n">
        <x:v>8137.69</x:v>
      </x:c>
      <x:c r="O692" s="30" t="n">
        <x:f>IFERROR(I692/H692,0)</x:f>
        <x:v>0.10826771653543307</x:v>
      </x:c>
      <x:c r="P692" s="30" t="n">
        <x:f>IFERROR(J692/I692,0)</x:f>
        <x:v>0.17272727272727273</x:v>
      </x:c>
      <x:c r="Q692" s="30" t="n">
        <x:f>IFERROR(K692/J692,0)</x:f>
        <x:v>0.39473684210526316</x:v>
      </x:c>
      <x:c r="R692" s="30" t="n">
        <x:f>IFERROR(L692/K692,0)</x:f>
        <x:v>0.4666666666666667</x:v>
      </x:c>
      <x:c r="S692" s="28" t="n">
        <x:f>IFERROR(N692/J692,0)</x:f>
        <x:v>214.14973684210526</x:v>
      </x:c>
      <x:c r="T692" s="28" t="n">
        <x:f>IFERROR(N692/K692,0)</x:f>
        <x:v>542.5126666666666</x:v>
      </x:c>
      <x:c r="U692" s="28" t="n">
        <x:f>IFERROR(N692/L692,0)</x:f>
        <x:v>1162.5271428571427</x:v>
      </x:c>
    </x:row>
    <x:row r="693">
      <x:c r="A693" t="n">
        <x:v>692</x:v>
      </x:c>
      <x:c r="B693" s="26" t="n">
        <x:v>46196</x:v>
      </x:c>
      <x:c r="C693" t="str">
        <x:v>CPO_Digital_360</x:v>
      </x:c>
      <x:c r="D693" t="str">
        <x:v>BAI Directo/App</x:v>
      </x:c>
      <x:c r="E693" t="str">
        <x:v>Funcionário Público</x:v>
      </x:c>
      <x:c r="F693" t="str">
        <x:v>Huambo</x:v>
      </x:c>
      <x:c r="G693" t="str">
        <x:v>iOS</x:v>
      </x:c>
      <x:c r="H693" t="n">
        <x:v>3715</x:v>
      </x:c>
      <x:c r="I693" t="n">
        <x:v>359</x:v>
      </x:c>
      <x:c r="J693" t="n">
        <x:v>74</x:v>
      </x:c>
      <x:c r="K693" t="n">
        <x:v>52</x:v>
      </x:c>
      <x:c r="L693" t="n">
        <x:v>39</x:v>
      </x:c>
      <x:c r="M693" s="28" t="n">
        <x:v>76256002.89</x:v>
      </x:c>
      <x:c r="N693" s="28" t="n">
        <x:v>29557.6</x:v>
      </x:c>
      <x:c r="O693" s="30" t="n">
        <x:f>IFERROR(I693/H693,0)</x:f>
        <x:v>0.09663526244952894</x:v>
      </x:c>
      <x:c r="P693" s="30" t="n">
        <x:f>IFERROR(J693/I693,0)</x:f>
        <x:v>0.20612813370473537</x:v>
      </x:c>
      <x:c r="Q693" s="30" t="n">
        <x:f>IFERROR(K693/J693,0)</x:f>
        <x:v>0.7027027027027027</x:v>
      </x:c>
      <x:c r="R693" s="30" t="n">
        <x:f>IFERROR(L693/K693,0)</x:f>
        <x:v>0.75</x:v>
      </x:c>
      <x:c r="S693" s="28" t="n">
        <x:f>IFERROR(N693/J693,0)</x:f>
        <x:v>399.427027027027</x:v>
      </x:c>
      <x:c r="T693" s="28" t="n">
        <x:f>IFERROR(N693/K693,0)</x:f>
        <x:v>568.4153846153846</x:v>
      </x:c>
      <x:c r="U693" s="28" t="n">
        <x:f>IFERROR(N693/L693,0)</x:f>
        <x:v>757.8871794871794</x:v>
      </x:c>
    </x:row>
    <x:row r="694">
      <x:c r="A694" t="n">
        <x:v>693</x:v>
      </x:c>
      <x:c r="B694" s="26" t="n">
        <x:v>46196</x:v>
      </x:c>
      <x:c r="C694" t="str">
        <x:v>CPO_Acesso_Rapido</x:v>
      </x:c>
      <x:c r="D694" t="str">
        <x:v>E-mail</x:v>
      </x:c>
      <x:c r="E694" t="str">
        <x:v>Pequeno Negócio</x:v>
      </x:c>
      <x:c r="F694" t="str">
        <x:v>Huambo</x:v>
      </x:c>
      <x:c r="G694" t="str">
        <x:v>Android</x:v>
      </x:c>
      <x:c r="H694" t="n">
        <x:v>4513</x:v>
      </x:c>
      <x:c r="I694" t="n">
        <x:v>199</x:v>
      </x:c>
      <x:c r="J694" t="n">
        <x:v>25</x:v>
      </x:c>
      <x:c r="K694" t="n">
        <x:v>10</x:v>
      </x:c>
      <x:c r="L694" t="n">
        <x:v>5</x:v>
      </x:c>
      <x:c r="M694" s="28" t="n">
        <x:v>15949568.54</x:v>
      </x:c>
      <x:c r="N694" s="28" t="n">
        <x:v>44130.46</x:v>
      </x:c>
      <x:c r="O694" s="30" t="n">
        <x:f>IFERROR(I694/H694,0)</x:f>
        <x:v>0.044094837137159316</x:v>
      </x:c>
      <x:c r="P694" s="30" t="n">
        <x:f>IFERROR(J694/I694,0)</x:f>
        <x:v>0.12562814070351758</x:v>
      </x:c>
      <x:c r="Q694" s="30" t="n">
        <x:f>IFERROR(K694/J694,0)</x:f>
        <x:v>0.4</x:v>
      </x:c>
      <x:c r="R694" s="30" t="n">
        <x:f>IFERROR(L694/K694,0)</x:f>
        <x:v>0.5</x:v>
      </x:c>
      <x:c r="S694" s="28" t="n">
        <x:f>IFERROR(N694/J694,0)</x:f>
        <x:v>1765.2184</x:v>
      </x:c>
      <x:c r="T694" s="28" t="n">
        <x:f>IFERROR(N694/K694,0)</x:f>
        <x:v>4413.046</x:v>
      </x:c>
      <x:c r="U694" s="28" t="n">
        <x:f>IFERROR(N694/L694,0)</x:f>
        <x:v>8826.092</x:v>
      </x:c>
    </x:row>
    <x:row r="695">
      <x:c r="A695" t="n">
        <x:v>694</x:v>
      </x:c>
      <x:c r="B695" s="26" t="n">
        <x:v>46196</x:v>
      </x:c>
      <x:c r="C695" t="str">
        <x:v>CPO_Always_On</x:v>
      </x:c>
      <x:c r="D695" t="str">
        <x:v>Meta Ads</x:v>
      </x:c>
      <x:c r="E695" t="str">
        <x:v>Pequeno Negócio</x:v>
      </x:c>
      <x:c r="F695" t="str">
        <x:v>Luanda</x:v>
      </x:c>
      <x:c r="G695" t="str">
        <x:v>Android</x:v>
      </x:c>
      <x:c r="H695" t="n">
        <x:v>15016</x:v>
      </x:c>
      <x:c r="I695" t="n">
        <x:v>298</x:v>
      </x:c>
      <x:c r="J695" t="n">
        <x:v>35</x:v>
      </x:c>
      <x:c r="K695" t="n">
        <x:v>15</x:v>
      </x:c>
      <x:c r="L695" t="n">
        <x:v>6</x:v>
      </x:c>
      <x:c r="M695" s="28" t="n">
        <x:v>19242891.16</x:v>
      </x:c>
      <x:c r="N695" s="28" t="n">
        <x:v>24595.67</x:v>
      </x:c>
      <x:c r="O695" s="30" t="n">
        <x:f>IFERROR(I695/H695,0)</x:f>
        <x:v>0.019845498135322322</x:v>
      </x:c>
      <x:c r="P695" s="30" t="n">
        <x:f>IFERROR(J695/I695,0)</x:f>
        <x:v>0.1174496644295302</x:v>
      </x:c>
      <x:c r="Q695" s="30" t="n">
        <x:f>IFERROR(K695/J695,0)</x:f>
        <x:v>0.42857142857142855</x:v>
      </x:c>
      <x:c r="R695" s="30" t="n">
        <x:f>IFERROR(L695/K695,0)</x:f>
        <x:v>0.4</x:v>
      </x:c>
      <x:c r="S695" s="28" t="n">
        <x:f>IFERROR(N695/J695,0)</x:f>
        <x:v>702.7334285714285</x:v>
      </x:c>
      <x:c r="T695" s="28" t="n">
        <x:f>IFERROR(N695/K695,0)</x:f>
        <x:v>1639.7113333333332</x:v>
      </x:c>
      <x:c r="U695" s="28" t="n">
        <x:f>IFERROR(N695/L695,0)</x:f>
        <x:v>4099.278333333333</x:v>
      </x:c>
    </x:row>
    <x:row r="696">
      <x:c r="A696" t="n">
        <x:v>695</x:v>
      </x:c>
      <x:c r="B696" s="26" t="n">
        <x:v>46197</x:v>
      </x:c>
      <x:c r="C696" t="str">
        <x:v>CPO_Premium</x:v>
      </x:c>
      <x:c r="D696" t="str">
        <x:v>SMS</x:v>
      </x:c>
      <x:c r="E696" t="str">
        <x:v>Funcionário Público</x:v>
      </x:c>
      <x:c r="F696" t="str">
        <x:v>Benguela</x:v>
      </x:c>
      <x:c r="G696" t="str">
        <x:v>Desktop</x:v>
      </x:c>
      <x:c r="H696" t="n">
        <x:v>1893</x:v>
      </x:c>
      <x:c r="I696" t="n">
        <x:v>196</x:v>
      </x:c>
      <x:c r="J696" t="n">
        <x:v>29</x:v>
      </x:c>
      <x:c r="K696" t="n">
        <x:v>20</x:v>
      </x:c>
      <x:c r="L696" t="n">
        <x:v>12</x:v>
      </x:c>
      <x:c r="M696" s="28" t="n">
        <x:v>18968544.91</x:v>
      </x:c>
      <x:c r="N696" s="28" t="n">
        <x:v>13180.86</x:v>
      </x:c>
      <x:c r="O696" s="30" t="n">
        <x:f>IFERROR(I696/H696,0)</x:f>
        <x:v>0.10353935552033809</x:v>
      </x:c>
      <x:c r="P696" s="30" t="n">
        <x:f>IFERROR(J696/I696,0)</x:f>
        <x:v>0.14795918367346939</x:v>
      </x:c>
      <x:c r="Q696" s="30" t="n">
        <x:f>IFERROR(K696/J696,0)</x:f>
        <x:v>0.6896551724137931</x:v>
      </x:c>
      <x:c r="R696" s="30" t="n">
        <x:f>IFERROR(L696/K696,0)</x:f>
        <x:v>0.6</x:v>
      </x:c>
      <x:c r="S696" s="28" t="n">
        <x:f>IFERROR(N696/J696,0)</x:f>
        <x:v>454.51241379310346</x:v>
      </x:c>
      <x:c r="T696" s="28" t="n">
        <x:f>IFERROR(N696/K696,0)</x:f>
        <x:v>659.043</x:v>
      </x:c>
      <x:c r="U696" s="28" t="n">
        <x:f>IFERROR(N696/L696,0)</x:f>
        <x:v>1098.405</x:v>
      </x:c>
    </x:row>
    <x:row r="697">
      <x:c r="A697" t="n">
        <x:v>696</x:v>
      </x:c>
      <x:c r="B697" s="26" t="n">
        <x:v>46197</x:v>
      </x:c>
      <x:c r="C697" t="str">
        <x:v>CPO_Premium</x:v>
      </x:c>
      <x:c r="D697" t="str">
        <x:v>SMS</x:v>
      </x:c>
      <x:c r="E697" t="str">
        <x:v>Funcionário Público</x:v>
      </x:c>
      <x:c r="F697" t="str">
        <x:v>Luanda</x:v>
      </x:c>
      <x:c r="G697" t="str">
        <x:v>iOS</x:v>
      </x:c>
      <x:c r="H697" t="n">
        <x:v>5225</x:v>
      </x:c>
      <x:c r="I697" t="n">
        <x:v>463</x:v>
      </x:c>
      <x:c r="J697" t="n">
        <x:v>70</x:v>
      </x:c>
      <x:c r="K697" t="n">
        <x:v>49</x:v>
      </x:c>
      <x:c r="L697" t="n">
        <x:v>35</x:v>
      </x:c>
      <x:c r="M697" s="28" t="n">
        <x:v>63967244.24</x:v>
      </x:c>
      <x:c r="N697" s="28" t="n">
        <x:v>55782.31</x:v>
      </x:c>
      <x:c r="O697" s="30" t="n">
        <x:f>IFERROR(I697/H697,0)</x:f>
        <x:v>0.08861244019138756</x:v>
      </x:c>
      <x:c r="P697" s="30" t="n">
        <x:f>IFERROR(J697/I697,0)</x:f>
        <x:v>0.1511879049676026</x:v>
      </x:c>
      <x:c r="Q697" s="30" t="n">
        <x:f>IFERROR(K697/J697,0)</x:f>
        <x:v>0.7</x:v>
      </x:c>
      <x:c r="R697" s="30" t="n">
        <x:f>IFERROR(L697/K697,0)</x:f>
        <x:v>0.7142857142857143</x:v>
      </x:c>
      <x:c r="S697" s="28" t="n">
        <x:f>IFERROR(N697/J697,0)</x:f>
        <x:v>796.8901428571428</x:v>
      </x:c>
      <x:c r="T697" s="28" t="n">
        <x:f>IFERROR(N697/K697,0)</x:f>
        <x:v>1138.4144897959184</x:v>
      </x:c>
      <x:c r="U697" s="28" t="n">
        <x:f>IFERROR(N697/L697,0)</x:f>
        <x:v>1593.7802857142856</x:v>
      </x:c>
    </x:row>
    <x:row r="698">
      <x:c r="A698" t="n">
        <x:v>697</x:v>
      </x:c>
      <x:c r="B698" s="26" t="n">
        <x:v>46197</x:v>
      </x:c>
      <x:c r="C698" t="str">
        <x:v>CPO_Salario</x:v>
      </x:c>
      <x:c r="D698" t="str">
        <x:v>SMS</x:v>
      </x:c>
      <x:c r="E698" t="str">
        <x:v>Jovem Profissional</x:v>
      </x:c>
      <x:c r="F698" t="str">
        <x:v>Luanda</x:v>
      </x:c>
      <x:c r="G698" t="str">
        <x:v>iOS</x:v>
      </x:c>
      <x:c r="H698" t="n">
        <x:v>5750</x:v>
      </x:c>
      <x:c r="I698" t="n">
        <x:v>404</x:v>
      </x:c>
      <x:c r="J698" t="n">
        <x:v>52</x:v>
      </x:c>
      <x:c r="K698" t="n">
        <x:v>29</x:v>
      </x:c>
      <x:c r="L698" t="n">
        <x:v>16</x:v>
      </x:c>
      <x:c r="M698" s="28" t="n">
        <x:v>18975850.96</x:v>
      </x:c>
      <x:c r="N698" s="28" t="n">
        <x:v>62048.51</x:v>
      </x:c>
      <x:c r="O698" s="30" t="n">
        <x:f>IFERROR(I698/H698,0)</x:f>
        <x:v>0.07026086956521739</x:v>
      </x:c>
      <x:c r="P698" s="30" t="n">
        <x:f>IFERROR(J698/I698,0)</x:f>
        <x:v>0.12871287128712872</x:v>
      </x:c>
      <x:c r="Q698" s="30" t="n">
        <x:f>IFERROR(K698/J698,0)</x:f>
        <x:v>0.5576923076923077</x:v>
      </x:c>
      <x:c r="R698" s="30" t="n">
        <x:f>IFERROR(L698/K698,0)</x:f>
        <x:v>0.5517241379310345</x:v>
      </x:c>
      <x:c r="S698" s="28" t="n">
        <x:f>IFERROR(N698/J698,0)</x:f>
        <x:v>1193.240576923077</x:v>
      </x:c>
      <x:c r="T698" s="28" t="n">
        <x:f>IFERROR(N698/K698,0)</x:f>
        <x:v>2139.6037931034484</x:v>
      </x:c>
      <x:c r="U698" s="28" t="n">
        <x:f>IFERROR(N698/L698,0)</x:f>
        <x:v>3878.031875</x:v>
      </x:c>
    </x:row>
    <x:row r="699">
      <x:c r="A699" t="n">
        <x:v>698</x:v>
      </x:c>
      <x:c r="B699" s="26" t="n">
        <x:v>46197</x:v>
      </x:c>
      <x:c r="C699" t="str">
        <x:v>CPO_Premium</x:v>
      </x:c>
      <x:c r="D699" t="str">
        <x:v>SMS</x:v>
      </x:c>
      <x:c r="E699" t="str">
        <x:v>Pequeno Negócio</x:v>
      </x:c>
      <x:c r="F699" t="str">
        <x:v>Benguela</x:v>
      </x:c>
      <x:c r="G699" t="str">
        <x:v>iOS</x:v>
      </x:c>
      <x:c r="H699" t="n">
        <x:v>8120</x:v>
      </x:c>
      <x:c r="I699" t="n">
        <x:v>816</x:v>
      </x:c>
      <x:c r="J699" t="n">
        <x:v>93</x:v>
      </x:c>
      <x:c r="K699" t="n">
        <x:v>40</x:v>
      </x:c>
      <x:c r="L699" t="n">
        <x:v>20</x:v>
      </x:c>
      <x:c r="M699" s="28" t="n">
        <x:v>62695420.19</x:v>
      </x:c>
      <x:c r="N699" s="28" t="n">
        <x:v>28316.31</x:v>
      </x:c>
      <x:c r="O699" s="30" t="n">
        <x:f>IFERROR(I699/H699,0)</x:f>
        <x:v>0.10049261083743842</x:v>
      </x:c>
      <x:c r="P699" s="30" t="n">
        <x:f>IFERROR(J699/I699,0)</x:f>
        <x:v>0.11397058823529412</x:v>
      </x:c>
      <x:c r="Q699" s="30" t="n">
        <x:f>IFERROR(K699/J699,0)</x:f>
        <x:v>0.43010752688172044</x:v>
      </x:c>
      <x:c r="R699" s="30" t="n">
        <x:f>IFERROR(L699/K699,0)</x:f>
        <x:v>0.5</x:v>
      </x:c>
      <x:c r="S699" s="28" t="n">
        <x:f>IFERROR(N699/J699,0)</x:f>
        <x:v>304.47645161290325</x:v>
      </x:c>
      <x:c r="T699" s="28" t="n">
        <x:f>IFERROR(N699/K699,0)</x:f>
        <x:v>707.9077500000001</x:v>
      </x:c>
      <x:c r="U699" s="28" t="n">
        <x:f>IFERROR(N699/L699,0)</x:f>
        <x:v>1415.8155000000002</x:v>
      </x:c>
    </x:row>
    <x:row r="700">
      <x:c r="A700" t="n">
        <x:v>699</x:v>
      </x:c>
      <x:c r="B700" s="26" t="n">
        <x:v>46197</x:v>
      </x:c>
      <x:c r="C700" t="str">
        <x:v>CPO_Salario</x:v>
      </x:c>
      <x:c r="D700" t="str">
        <x:v>E-mail</x:v>
      </x:c>
      <x:c r="E700" t="str">
        <x:v>Jovem Profissional</x:v>
      </x:c>
      <x:c r="F700" t="str">
        <x:v>Luanda</x:v>
      </x:c>
      <x:c r="G700" t="str">
        <x:v>Android</x:v>
      </x:c>
      <x:c r="H700" t="n">
        <x:v>4862</x:v>
      </x:c>
      <x:c r="I700" t="n">
        <x:v>298</x:v>
      </x:c>
      <x:c r="J700" t="n">
        <x:v>31</x:v>
      </x:c>
      <x:c r="K700" t="n">
        <x:v>13</x:v>
      </x:c>
      <x:c r="L700" t="n">
        <x:v>6</x:v>
      </x:c>
      <x:c r="M700" s="28" t="n">
        <x:v>7738437.36</x:v>
      </x:c>
      <x:c r="N700" s="28" t="n">
        <x:v>84010.46</x:v>
      </x:c>
      <x:c r="O700" s="30" t="n">
        <x:f>IFERROR(I700/H700,0)</x:f>
        <x:v>0.061291649526943645</x:v>
      </x:c>
      <x:c r="P700" s="30" t="n">
        <x:f>IFERROR(J700/I700,0)</x:f>
        <x:v>0.1040268456375839</x:v>
      </x:c>
      <x:c r="Q700" s="30" t="n">
        <x:f>IFERROR(K700/J700,0)</x:f>
        <x:v>0.41935483870967744</x:v>
      </x:c>
      <x:c r="R700" s="30" t="n">
        <x:f>IFERROR(L700/K700,0)</x:f>
        <x:v>0.46153846153846156</x:v>
      </x:c>
      <x:c r="S700" s="28" t="n">
        <x:f>IFERROR(N700/J700,0)</x:f>
        <x:v>2710.0148387096774</x:v>
      </x:c>
      <x:c r="T700" s="28" t="n">
        <x:f>IFERROR(N700/K700,0)</x:f>
        <x:v>6462.343076923077</x:v>
      </x:c>
      <x:c r="U700" s="28" t="n">
        <x:f>IFERROR(N700/L700,0)</x:f>
        <x:v>14001.743333333334</x:v>
      </x:c>
    </x:row>
    <x:row r="701">
      <x:c r="A701" t="n">
        <x:v>700</x:v>
      </x:c>
      <x:c r="B701" s="26" t="n">
        <x:v>46198</x:v>
      </x:c>
      <x:c r="C701" t="str">
        <x:v>CPO_Acesso_Rapido</x:v>
      </x:c>
      <x:c r="D701" t="str">
        <x:v>E-mail</x:v>
      </x:c>
      <x:c r="E701" t="str">
        <x:v>Premium</x:v>
      </x:c>
      <x:c r="F701" t="str">
        <x:v>Huambo</x:v>
      </x:c>
      <x:c r="G701" t="str">
        <x:v>iOS</x:v>
      </x:c>
      <x:c r="H701" t="n">
        <x:v>7434</x:v>
      </x:c>
      <x:c r="I701" t="n">
        <x:v>309</x:v>
      </x:c>
      <x:c r="J701" t="n">
        <x:v>26</x:v>
      </x:c>
      <x:c r="K701" t="n">
        <x:v>20</x:v>
      </x:c>
      <x:c r="L701" t="n">
        <x:v>17</x:v>
      </x:c>
      <x:c r="M701" s="28" t="n">
        <x:v>95272396.36</x:v>
      </x:c>
      <x:c r="N701" s="28" t="n">
        <x:v>35287.11</x:v>
      </x:c>
      <x:c r="O701" s="30" t="n">
        <x:f>IFERROR(I701/H701,0)</x:f>
        <x:v>0.041565778853914444</x:v>
      </x:c>
      <x:c r="P701" s="30" t="n">
        <x:f>IFERROR(J701/I701,0)</x:f>
        <x:v>0.08414239482200647</x:v>
      </x:c>
      <x:c r="Q701" s="30" t="n">
        <x:f>IFERROR(K701/J701,0)</x:f>
        <x:v>0.7692307692307693</x:v>
      </x:c>
      <x:c r="R701" s="30" t="n">
        <x:f>IFERROR(L701/K701,0)</x:f>
        <x:v>0.85</x:v>
      </x:c>
      <x:c r="S701" s="28" t="n">
        <x:f>IFERROR(N701/J701,0)</x:f>
        <x:v>1357.1965384615385</x:v>
      </x:c>
      <x:c r="T701" s="28" t="n">
        <x:f>IFERROR(N701/K701,0)</x:f>
        <x:v>1764.3555000000001</x:v>
      </x:c>
      <x:c r="U701" s="28" t="n">
        <x:f>IFERROR(N701/L701,0)</x:f>
        <x:v>2075.7123529411765</x:v>
      </x:c>
    </x:row>
    <x:row r="702">
      <x:c r="A702" t="n">
        <x:v>701</x:v>
      </x:c>
      <x:c r="B702" s="26" t="n">
        <x:v>46198</x:v>
      </x:c>
      <x:c r="C702" t="str">
        <x:v>CPO_Digital_360</x:v>
      </x:c>
      <x:c r="D702" t="str">
        <x:v>E-mail</x:v>
      </x:c>
      <x:c r="E702" t="str">
        <x:v>Pequeno Negócio</x:v>
      </x:c>
      <x:c r="F702" t="str">
        <x:v>Cabinda</x:v>
      </x:c>
      <x:c r="G702" t="str">
        <x:v>Android</x:v>
      </x:c>
      <x:c r="H702" t="n">
        <x:v>6635</x:v>
      </x:c>
      <x:c r="I702" t="n">
        <x:v>345</x:v>
      </x:c>
      <x:c r="J702" t="n">
        <x:v>48</x:v>
      </x:c>
      <x:c r="K702" t="n">
        <x:v>19</x:v>
      </x:c>
      <x:c r="L702" t="n">
        <x:v>9</x:v>
      </x:c>
      <x:c r="M702" s="28" t="n">
        <x:v>29927215.09</x:v>
      </x:c>
      <x:c r="N702" s="28" t="n">
        <x:v>116536.58</x:v>
      </x:c>
      <x:c r="O702" s="30" t="n">
        <x:f>IFERROR(I702/H702,0)</x:f>
        <x:v>0.05199698568198945</x:v>
      </x:c>
      <x:c r="P702" s="30" t="n">
        <x:f>IFERROR(J702/I702,0)</x:f>
        <x:v>0.1391304347826087</x:v>
      </x:c>
      <x:c r="Q702" s="30" t="n">
        <x:f>IFERROR(K702/J702,0)</x:f>
        <x:v>0.3958333333333333</x:v>
      </x:c>
      <x:c r="R702" s="30" t="n">
        <x:f>IFERROR(L702/K702,0)</x:f>
        <x:v>0.47368421052631576</x:v>
      </x:c>
      <x:c r="S702" s="28" t="n">
        <x:f>IFERROR(N702/J702,0)</x:f>
        <x:v>2427.8454166666666</x:v>
      </x:c>
      <x:c r="T702" s="28" t="n">
        <x:f>IFERROR(N702/K702,0)</x:f>
        <x:v>6133.504210526316</x:v>
      </x:c>
      <x:c r="U702" s="28" t="n">
        <x:f>IFERROR(N702/L702,0)</x:f>
        <x:v>12948.50888888889</x:v>
      </x:c>
    </x:row>
    <x:row r="703">
      <x:c r="A703" t="n">
        <x:v>702</x:v>
      </x:c>
      <x:c r="B703" s="26" t="n">
        <x:v>46198</x:v>
      </x:c>
      <x:c r="C703" t="str">
        <x:v>CPO_Fim_do_Mes</x:v>
      </x:c>
      <x:c r="D703" t="str">
        <x:v>SMS</x:v>
      </x:c>
      <x:c r="E703" t="str">
        <x:v>Pequeno Negócio</x:v>
      </x:c>
      <x:c r="F703" t="str">
        <x:v>Benguela</x:v>
      </x:c>
      <x:c r="G703" t="str">
        <x:v>Desktop</x:v>
      </x:c>
      <x:c r="H703" t="n">
        <x:v>7402</x:v>
      </x:c>
      <x:c r="I703" t="n">
        <x:v>715</x:v>
      </x:c>
      <x:c r="J703" t="n">
        <x:v>95</x:v>
      </x:c>
      <x:c r="K703" t="n">
        <x:v>43</x:v>
      </x:c>
      <x:c r="L703" t="n">
        <x:v>26</x:v>
      </x:c>
      <x:c r="M703" s="28" t="n">
        <x:v>79178021.83</x:v>
      </x:c>
      <x:c r="N703" s="28" t="n">
        <x:v>62431.4</x:v>
      </x:c>
      <x:c r="O703" s="30" t="n">
        <x:f>IFERROR(I703/H703,0)</x:f>
        <x:v>0.0965955147257498</x:v>
      </x:c>
      <x:c r="P703" s="30" t="n">
        <x:f>IFERROR(J703/I703,0)</x:f>
        <x:v>0.13286713286713286</x:v>
      </x:c>
      <x:c r="Q703" s="30" t="n">
        <x:f>IFERROR(K703/J703,0)</x:f>
        <x:v>0.45263157894736844</x:v>
      </x:c>
      <x:c r="R703" s="30" t="n">
        <x:f>IFERROR(L703/K703,0)</x:f>
        <x:v>0.6046511627906976</x:v>
      </x:c>
      <x:c r="S703" s="28" t="n">
        <x:f>IFERROR(N703/J703,0)</x:f>
        <x:v>657.1726315789474</x:v>
      </x:c>
      <x:c r="T703" s="28" t="n">
        <x:f>IFERROR(N703/K703,0)</x:f>
        <x:v>1451.893023255814</x:v>
      </x:c>
      <x:c r="U703" s="28" t="n">
        <x:f>IFERROR(N703/L703,0)</x:f>
        <x:v>2401.2076923076925</x:v>
      </x:c>
    </x:row>
    <x:row r="704">
      <x:c r="A704" t="n">
        <x:v>703</x:v>
      </x:c>
      <x:c r="B704" s="26" t="n">
        <x:v>46198</x:v>
      </x:c>
      <x:c r="C704" t="str">
        <x:v>CPO_Always_On</x:v>
      </x:c>
      <x:c r="D704" t="str">
        <x:v>SMS</x:v>
      </x:c>
      <x:c r="E704" t="str">
        <x:v>Jovem Profissional</x:v>
      </x:c>
      <x:c r="F704" t="str">
        <x:v>Huíla</x:v>
      </x:c>
      <x:c r="G704" t="str">
        <x:v>Android</x:v>
      </x:c>
      <x:c r="H704" t="n">
        <x:v>10360</x:v>
      </x:c>
      <x:c r="I704" t="n">
        <x:v>753</x:v>
      </x:c>
      <x:c r="J704" t="n">
        <x:v>107</x:v>
      </x:c>
      <x:c r="K704" t="n">
        <x:v>53</x:v>
      </x:c>
      <x:c r="L704" t="n">
        <x:v>32</x:v>
      </x:c>
      <x:c r="M704" s="28" t="n">
        <x:v>41282940.2</x:v>
      </x:c>
      <x:c r="N704" s="28" t="n">
        <x:v>152279.4</x:v>
      </x:c>
      <x:c r="O704" s="30" t="n">
        <x:f>IFERROR(I704/H704,0)</x:f>
        <x:v>0.07268339768339768</x:v>
      </x:c>
      <x:c r="P704" s="30" t="n">
        <x:f>IFERROR(J704/I704,0)</x:f>
        <x:v>0.14209827357237717</x:v>
      </x:c>
      <x:c r="Q704" s="30" t="n">
        <x:f>IFERROR(K704/J704,0)</x:f>
        <x:v>0.4953271028037383</x:v>
      </x:c>
      <x:c r="R704" s="30" t="n">
        <x:f>IFERROR(L704/K704,0)</x:f>
        <x:v>0.6037735849056604</x:v>
      </x:c>
      <x:c r="S704" s="28" t="n">
        <x:f>IFERROR(N704/J704,0)</x:f>
        <x:v>1423.1719626168224</x:v>
      </x:c>
      <x:c r="T704" s="28" t="n">
        <x:f>IFERROR(N704/K704,0)</x:f>
        <x:v>2873.1962264150943</x:v>
      </x:c>
      <x:c r="U704" s="28" t="n">
        <x:f>IFERROR(N704/L704,0)</x:f>
        <x:v>4758.73125</x:v>
      </x:c>
    </x:row>
    <x:row r="705">
      <x:c r="A705" t="n">
        <x:v>704</x:v>
      </x:c>
      <x:c r="B705" s="26" t="n">
        <x:v>46199</x:v>
      </x:c>
      <x:c r="C705" t="str">
        <x:v>CPO_Digital_360</x:v>
      </x:c>
      <x:c r="D705" t="str">
        <x:v>Google Ads</x:v>
      </x:c>
      <x:c r="E705" t="str">
        <x:v>Funcionário Público</x:v>
      </x:c>
      <x:c r="F705" t="str">
        <x:v>Huambo</x:v>
      </x:c>
      <x:c r="G705" t="str">
        <x:v>Android</x:v>
      </x:c>
      <x:c r="H705" t="n">
        <x:v>11536</x:v>
      </x:c>
      <x:c r="I705" t="n">
        <x:v>370</x:v>
      </x:c>
      <x:c r="J705" t="n">
        <x:v>62</x:v>
      </x:c>
      <x:c r="K705" t="n">
        <x:v>46</x:v>
      </x:c>
      <x:c r="L705" t="n">
        <x:v>29</x:v>
      </x:c>
      <x:c r="M705" s="28" t="n">
        <x:v>51825155.14</x:v>
      </x:c>
      <x:c r="N705" s="28" t="n">
        <x:v>36231.32</x:v>
      </x:c>
      <x:c r="O705" s="30" t="n">
        <x:f>IFERROR(I705/H705,0)</x:f>
        <x:v>0.03207350901525659</x:v>
      </x:c>
      <x:c r="P705" s="30" t="n">
        <x:f>IFERROR(J705/I705,0)</x:f>
        <x:v>0.16756756756756758</x:v>
      </x:c>
      <x:c r="Q705" s="30" t="n">
        <x:f>IFERROR(K705/J705,0)</x:f>
        <x:v>0.7419354838709677</x:v>
      </x:c>
      <x:c r="R705" s="30" t="n">
        <x:f>IFERROR(L705/K705,0)</x:f>
        <x:v>0.6304347826086957</x:v>
      </x:c>
      <x:c r="S705" s="28" t="n">
        <x:f>IFERROR(N705/J705,0)</x:f>
        <x:v>584.3761290322581</x:v>
      </x:c>
      <x:c r="T705" s="28" t="n">
        <x:f>IFERROR(N705/K705,0)</x:f>
        <x:v>787.6373913043478</x:v>
      </x:c>
      <x:c r="U705" s="28" t="n">
        <x:f>IFERROR(N705/L705,0)</x:f>
        <x:v>1249.3558620689655</x:v>
      </x:c>
    </x:row>
    <x:row r="706">
      <x:c r="A706" t="n">
        <x:v>705</x:v>
      </x:c>
      <x:c r="B706" s="26" t="n">
        <x:v>46199</x:v>
      </x:c>
      <x:c r="C706" t="str">
        <x:v>CPO_Premium</x:v>
      </x:c>
      <x:c r="D706" t="str">
        <x:v>BAI Directo/App</x:v>
      </x:c>
      <x:c r="E706" t="str">
        <x:v>Assalariado</x:v>
      </x:c>
      <x:c r="F706" t="str">
        <x:v>Benguela</x:v>
      </x:c>
      <x:c r="G706" t="str">
        <x:v>Android</x:v>
      </x:c>
      <x:c r="H706" t="n">
        <x:v>11865</x:v>
      </x:c>
      <x:c r="I706" t="n">
        <x:v>1280</x:v>
      </x:c>
      <x:c r="J706" t="n">
        <x:v>314</x:v>
      </x:c>
      <x:c r="K706" t="n">
        <x:v>236</x:v>
      </x:c>
      <x:c r="L706" t="n">
        <x:v>142</x:v>
      </x:c>
      <x:c r="M706" s="28" t="n">
        <x:v>319810324.8</x:v>
      </x:c>
      <x:c r="N706" s="28" t="n">
        <x:v>178175.64</x:v>
      </x:c>
      <x:c r="O706" s="30" t="n">
        <x:f>IFERROR(I706/H706,0)</x:f>
        <x:v>0.1078803202697008</x:v>
      </x:c>
      <x:c r="P706" s="30" t="n">
        <x:f>IFERROR(J706/I706,0)</x:f>
        <x:v>0.2453125</x:v>
      </x:c>
      <x:c r="Q706" s="30" t="n">
        <x:f>IFERROR(K706/J706,0)</x:f>
        <x:v>0.7515923566878981</x:v>
      </x:c>
      <x:c r="R706" s="30" t="n">
        <x:f>IFERROR(L706/K706,0)</x:f>
        <x:v>0.6016949152542372</x:v>
      </x:c>
      <x:c r="S706" s="28" t="n">
        <x:f>IFERROR(N706/J706,0)</x:f>
        <x:v>567.4383439490447</x:v>
      </x:c>
      <x:c r="T706" s="28" t="n">
        <x:f>IFERROR(N706/K706,0)</x:f>
        <x:v>754.9815254237288</x:v>
      </x:c>
      <x:c r="U706" s="28" t="n">
        <x:f>IFERROR(N706/L706,0)</x:f>
        <x:v>1254.758028169014</x:v>
      </x:c>
    </x:row>
    <x:row r="707">
      <x:c r="A707" t="n">
        <x:v>706</x:v>
      </x:c>
      <x:c r="B707" s="26" t="n">
        <x:v>46199</x:v>
      </x:c>
      <x:c r="C707" t="str">
        <x:v>CPO_Always_On</x:v>
      </x:c>
      <x:c r="D707" t="str">
        <x:v>Google Ads</x:v>
      </x:c>
      <x:c r="E707" t="str">
        <x:v>Jovem Profissional</x:v>
      </x:c>
      <x:c r="F707" t="str">
        <x:v>Huíla</x:v>
      </x:c>
      <x:c r="G707" t="str">
        <x:v>iOS</x:v>
      </x:c>
      <x:c r="H707" t="n">
        <x:v>27468</x:v>
      </x:c>
      <x:c r="I707" t="n">
        <x:v>837</x:v>
      </x:c>
      <x:c r="J707" t="n">
        <x:v>123</x:v>
      </x:c>
      <x:c r="K707" t="n">
        <x:v>74</x:v>
      </x:c>
      <x:c r="L707" t="n">
        <x:v>33</x:v>
      </x:c>
      <x:c r="M707" s="28" t="n">
        <x:v>40414641.62</x:v>
      </x:c>
      <x:c r="N707" s="28" t="n">
        <x:v>44036.36</x:v>
      </x:c>
      <x:c r="O707" s="30" t="n">
        <x:f>IFERROR(I707/H707,0)</x:f>
        <x:v>0.030471821756225426</x:v>
      </x:c>
      <x:c r="P707" s="30" t="n">
        <x:f>IFERROR(J707/I707,0)</x:f>
        <x:v>0.14695340501792115</x:v>
      </x:c>
      <x:c r="Q707" s="30" t="n">
        <x:f>IFERROR(K707/J707,0)</x:f>
        <x:v>0.6016260162601627</x:v>
      </x:c>
      <x:c r="R707" s="30" t="n">
        <x:f>IFERROR(L707/K707,0)</x:f>
        <x:v>0.44594594594594594</x:v>
      </x:c>
      <x:c r="S707" s="28" t="n">
        <x:f>IFERROR(N707/J707,0)</x:f>
        <x:v>358.0191869918699</x:v>
      </x:c>
      <x:c r="T707" s="28" t="n">
        <x:f>IFERROR(N707/K707,0)</x:f>
        <x:v>595.0859459459459</x:v>
      </x:c>
      <x:c r="U707" s="28" t="n">
        <x:f>IFERROR(N707/L707,0)</x:f>
        <x:v>1334.4351515151516</x:v>
      </x:c>
    </x:row>
    <x:row r="708">
      <x:c r="A708" t="n">
        <x:v>707</x:v>
      </x:c>
      <x:c r="B708" s="26" t="n">
        <x:v>46199</x:v>
      </x:c>
      <x:c r="C708" t="str">
        <x:v>CPO_Fim_do_Mes</x:v>
      </x:c>
      <x:c r="D708" t="str">
        <x:v>TikTok Ads</x:v>
      </x:c>
      <x:c r="E708" t="str">
        <x:v>Jovem Profissional</x:v>
      </x:c>
      <x:c r="F708" t="str">
        <x:v>Huíla</x:v>
      </x:c>
      <x:c r="G708" t="str">
        <x:v>Android</x:v>
      </x:c>
      <x:c r="H708" t="n">
        <x:v>18645</x:v>
      </x:c>
      <x:c r="I708" t="n">
        <x:v>199</x:v>
      </x:c>
      <x:c r="J708" t="n">
        <x:v>13</x:v>
      </x:c>
      <x:c r="K708" t="n">
        <x:v>7</x:v>
      </x:c>
      <x:c r="L708" t="n">
        <x:v>3</x:v>
      </x:c>
      <x:c r="M708" s="28" t="n">
        <x:v>4324327.99</x:v>
      </x:c>
      <x:c r="N708" s="28" t="n">
        <x:v>15436.81</x:v>
      </x:c>
      <x:c r="O708" s="30" t="n">
        <x:f>IFERROR(I708/H708,0)</x:f>
        <x:v>0.010673102708500939</x:v>
      </x:c>
      <x:c r="P708" s="30" t="n">
        <x:f>IFERROR(J708/I708,0)</x:f>
        <x:v>0.06532663316582915</x:v>
      </x:c>
      <x:c r="Q708" s="30" t="n">
        <x:f>IFERROR(K708/J708,0)</x:f>
        <x:v>0.5384615384615384</x:v>
      </x:c>
      <x:c r="R708" s="30" t="n">
        <x:f>IFERROR(L708/K708,0)</x:f>
        <x:v>0.42857142857142855</x:v>
      </x:c>
      <x:c r="S708" s="28" t="n">
        <x:f>IFERROR(N708/J708,0)</x:f>
        <x:v>1187.446923076923</x:v>
      </x:c>
      <x:c r="T708" s="28" t="n">
        <x:f>IFERROR(N708/K708,0)</x:f>
        <x:v>2205.2585714285715</x:v>
      </x:c>
      <x:c r="U708" s="28" t="n">
        <x:f>IFERROR(N708/L708,0)</x:f>
        <x:v>5145.6033333333335</x:v>
      </x:c>
    </x:row>
    <x:row r="709">
      <x:c r="A709" t="n">
        <x:v>708</x:v>
      </x:c>
      <x:c r="B709" s="26" t="n">
        <x:v>46200</x:v>
      </x:c>
      <x:c r="C709" t="str">
        <x:v>CPO_Acesso_Rapido</x:v>
      </x:c>
      <x:c r="D709" t="str">
        <x:v>TikTok Ads</x:v>
      </x:c>
      <x:c r="E709" t="str">
        <x:v>Jovem Profissional</x:v>
      </x:c>
      <x:c r="F709" t="str">
        <x:v>Huambo</x:v>
      </x:c>
      <x:c r="G709" t="str">
        <x:v>Android</x:v>
      </x:c>
      <x:c r="H709" t="n">
        <x:v>11582</x:v>
      </x:c>
      <x:c r="I709" t="n">
        <x:v>104</x:v>
      </x:c>
      <x:c r="J709" t="n">
        <x:v>8</x:v>
      </x:c>
      <x:c r="K709" t="n">
        <x:v>5</x:v>
      </x:c>
      <x:c r="L709" t="n">
        <x:v>3</x:v>
      </x:c>
      <x:c r="M709" s="28" t="n">
        <x:v>5046193.89</x:v>
      </x:c>
      <x:c r="N709" s="28" t="n">
        <x:v>9909.14</x:v>
      </x:c>
      <x:c r="O709" s="30" t="n">
        <x:f>IFERROR(I709/H709,0)</x:f>
        <x:v>0.008979450872042825</x:v>
      </x:c>
      <x:c r="P709" s="30" t="n">
        <x:f>IFERROR(J709/I709,0)</x:f>
        <x:v>0.07692307692307693</x:v>
      </x:c>
      <x:c r="Q709" s="30" t="n">
        <x:f>IFERROR(K709/J709,0)</x:f>
        <x:v>0.625</x:v>
      </x:c>
      <x:c r="R709" s="30" t="n">
        <x:f>IFERROR(L709/K709,0)</x:f>
        <x:v>0.6</x:v>
      </x:c>
      <x:c r="S709" s="28" t="n">
        <x:f>IFERROR(N709/J709,0)</x:f>
        <x:v>1238.6425</x:v>
      </x:c>
      <x:c r="T709" s="28" t="n">
        <x:f>IFERROR(N709/K709,0)</x:f>
        <x:v>1981.828</x:v>
      </x:c>
      <x:c r="U709" s="28" t="n">
        <x:f>IFERROR(N709/L709,0)</x:f>
        <x:v>3303.0466666666666</x:v>
      </x:c>
    </x:row>
    <x:row r="710">
      <x:c r="A710" t="n">
        <x:v>709</x:v>
      </x:c>
      <x:c r="B710" s="26" t="n">
        <x:v>46200</x:v>
      </x:c>
      <x:c r="C710" t="str">
        <x:v>CPO_Premium</x:v>
      </x:c>
      <x:c r="D710" t="str">
        <x:v>E-mail</x:v>
      </x:c>
      <x:c r="E710" t="str">
        <x:v>Funcionário Público</x:v>
      </x:c>
      <x:c r="F710" t="str">
        <x:v>Benguela</x:v>
      </x:c>
      <x:c r="G710" t="str">
        <x:v>Android</x:v>
      </x:c>
      <x:c r="H710" t="n">
        <x:v>4146</x:v>
      </x:c>
      <x:c r="I710" t="n">
        <x:v>229</x:v>
      </x:c>
      <x:c r="J710" t="n">
        <x:v>30</x:v>
      </x:c>
      <x:c r="K710" t="n">
        <x:v>17</x:v>
      </x:c>
      <x:c r="L710" t="n">
        <x:v>12</x:v>
      </x:c>
      <x:c r="M710" s="28" t="n">
        <x:v>22913804.52</x:v>
      </x:c>
      <x:c r="N710" s="28" t="n">
        <x:v>59587.53</x:v>
      </x:c>
      <x:c r="O710" s="30" t="n">
        <x:f>IFERROR(I710/H710,0)</x:f>
        <x:v>0.05523396044380125</x:v>
      </x:c>
      <x:c r="P710" s="30" t="n">
        <x:f>IFERROR(J710/I710,0)</x:f>
        <x:v>0.13100436681222707</x:v>
      </x:c>
      <x:c r="Q710" s="30" t="n">
        <x:f>IFERROR(K710/J710,0)</x:f>
        <x:v>0.5666666666666667</x:v>
      </x:c>
      <x:c r="R710" s="30" t="n">
        <x:f>IFERROR(L710/K710,0)</x:f>
        <x:v>0.7058823529411765</x:v>
      </x:c>
      <x:c r="S710" s="28" t="n">
        <x:f>IFERROR(N710/J710,0)</x:f>
        <x:v>1986.251</x:v>
      </x:c>
      <x:c r="T710" s="28" t="n">
        <x:f>IFERROR(N710/K710,0)</x:f>
        <x:v>3505.148823529412</x:v>
      </x:c>
      <x:c r="U710" s="28" t="n">
        <x:f>IFERROR(N710/L710,0)</x:f>
        <x:v>4965.6275</x:v>
      </x:c>
    </x:row>
    <x:row r="711">
      <x:c r="A711" t="n">
        <x:v>710</x:v>
      </x:c>
      <x:c r="B711" s="26" t="n">
        <x:v>46200</x:v>
      </x:c>
      <x:c r="C711" t="str">
        <x:v>CPO_Salario</x:v>
      </x:c>
      <x:c r="D711" t="str">
        <x:v>TikTok Ads</x:v>
      </x:c>
      <x:c r="E711" t="str">
        <x:v>Assalariado</x:v>
      </x:c>
      <x:c r="F711" t="str">
        <x:v>Huíla</x:v>
      </x:c>
      <x:c r="G711" t="str">
        <x:v>Android</x:v>
      </x:c>
      <x:c r="H711" t="n">
        <x:v>25915</x:v>
      </x:c>
      <x:c r="I711" t="n">
        <x:v>410</x:v>
      </x:c>
      <x:c r="J711" t="n">
        <x:v>30</x:v>
      </x:c>
      <x:c r="K711" t="n">
        <x:v>21</x:v>
      </x:c>
      <x:c r="L711" t="n">
        <x:v>16</x:v>
      </x:c>
      <x:c r="M711" s="28" t="n">
        <x:v>37893786.65</x:v>
      </x:c>
      <x:c r="N711" s="28" t="n">
        <x:v>21560.85</x:v>
      </x:c>
      <x:c r="O711" s="30" t="n">
        <x:f>IFERROR(I711/H711,0)</x:f>
        <x:v>0.01582095311595601</x:v>
      </x:c>
      <x:c r="P711" s="30" t="n">
        <x:f>IFERROR(J711/I711,0)</x:f>
        <x:v>0.07317073170731707</x:v>
      </x:c>
      <x:c r="Q711" s="30" t="n">
        <x:f>IFERROR(K711/J711,0)</x:f>
        <x:v>0.7</x:v>
      </x:c>
      <x:c r="R711" s="30" t="n">
        <x:f>IFERROR(L711/K711,0)</x:f>
        <x:v>0.7619047619047619</x:v>
      </x:c>
      <x:c r="S711" s="28" t="n">
        <x:f>IFERROR(N711/J711,0)</x:f>
        <x:v>718.6949999999999</x:v>
      </x:c>
      <x:c r="T711" s="28" t="n">
        <x:f>IFERROR(N711/K711,0)</x:f>
        <x:v>1026.7071428571428</x:v>
      </x:c>
      <x:c r="U711" s="28" t="n">
        <x:f>IFERROR(N711/L711,0)</x:f>
        <x:v>1347.553125</x:v>
      </x:c>
    </x:row>
    <x:row r="712">
      <x:c r="A712" t="n">
        <x:v>711</x:v>
      </x:c>
      <x:c r="B712" s="26" t="n">
        <x:v>46201</x:v>
      </x:c>
      <x:c r="C712" t="str">
        <x:v>CPO_Acesso_Rapido</x:v>
      </x:c>
      <x:c r="D712" t="str">
        <x:v>Google Ads</x:v>
      </x:c>
      <x:c r="E712" t="str">
        <x:v>Premium</x:v>
      </x:c>
      <x:c r="F712" t="str">
        <x:v>Malanje</x:v>
      </x:c>
      <x:c r="G712" t="str">
        <x:v>Android</x:v>
      </x:c>
      <x:c r="H712" t="n">
        <x:v>5078</x:v>
      </x:c>
      <x:c r="I712" t="n">
        <x:v>141</x:v>
      </x:c>
      <x:c r="J712" t="n">
        <x:v>21</x:v>
      </x:c>
      <x:c r="K712" t="n">
        <x:v>16</x:v>
      </x:c>
      <x:c r="L712" t="n">
        <x:v>10</x:v>
      </x:c>
      <x:c r="M712" s="28" t="n">
        <x:v>45948610.8</x:v>
      </x:c>
      <x:c r="N712" s="28" t="n">
        <x:v>24457.76</x:v>
      </x:c>
      <x:c r="O712" s="30" t="n">
        <x:f>IFERROR(I712/H712,0)</x:f>
        <x:v>0.02776683733753446</x:v>
      </x:c>
      <x:c r="P712" s="30" t="n">
        <x:f>IFERROR(J712/I712,0)</x:f>
        <x:v>0.14893617021276595</x:v>
      </x:c>
      <x:c r="Q712" s="30" t="n">
        <x:f>IFERROR(K712/J712,0)</x:f>
        <x:v>0.7619047619047619</x:v>
      </x:c>
      <x:c r="R712" s="30" t="n">
        <x:f>IFERROR(L712/K712,0)</x:f>
        <x:v>0.625</x:v>
      </x:c>
      <x:c r="S712" s="28" t="n">
        <x:f>IFERROR(N712/J712,0)</x:f>
        <x:v>1164.655238095238</x:v>
      </x:c>
      <x:c r="T712" s="28" t="n">
        <x:f>IFERROR(N712/K712,0)</x:f>
        <x:v>1528.61</x:v>
      </x:c>
      <x:c r="U712" s="28" t="n">
        <x:f>IFERROR(N712/L712,0)</x:f>
        <x:v>2445.776</x:v>
      </x:c>
    </x:row>
    <x:row r="713">
      <x:c r="A713" t="n">
        <x:v>712</x:v>
      </x:c>
      <x:c r="B713" s="26" t="n">
        <x:v>46201</x:v>
      </x:c>
      <x:c r="C713" t="str">
        <x:v>CPO_Always_On</x:v>
      </x:c>
      <x:c r="D713" t="str">
        <x:v>Meta Ads</x:v>
      </x:c>
      <x:c r="E713" t="str">
        <x:v>Premium</x:v>
      </x:c>
      <x:c r="F713" t="str">
        <x:v>Huambo</x:v>
      </x:c>
      <x:c r="G713" t="str">
        <x:v>Android</x:v>
      </x:c>
      <x:c r="H713" t="n">
        <x:v>12660</x:v>
      </x:c>
      <x:c r="I713" t="n">
        <x:v>210</x:v>
      </x:c>
      <x:c r="J713" t="n">
        <x:v>21</x:v>
      </x:c>
      <x:c r="K713" t="n">
        <x:v>15</x:v>
      </x:c>
      <x:c r="L713" t="n">
        <x:v>11</x:v>
      </x:c>
      <x:c r="M713" s="28" t="n">
        <x:v>56870120.79</x:v>
      </x:c>
      <x:c r="N713" s="28" t="n">
        <x:v>29230.17</x:v>
      </x:c>
      <x:c r="O713" s="30" t="n">
        <x:f>IFERROR(I713/H713,0)</x:f>
        <x:v>0.016587677725118485</x:v>
      </x:c>
      <x:c r="P713" s="30" t="n">
        <x:f>IFERROR(J713/I713,0)</x:f>
        <x:v>0.1</x:v>
      </x:c>
      <x:c r="Q713" s="30" t="n">
        <x:f>IFERROR(K713/J713,0)</x:f>
        <x:v>0.7142857142857143</x:v>
      </x:c>
      <x:c r="R713" s="30" t="n">
        <x:f>IFERROR(L713/K713,0)</x:f>
        <x:v>0.7333333333333333</x:v>
      </x:c>
      <x:c r="S713" s="28" t="n">
        <x:f>IFERROR(N713/J713,0)</x:f>
        <x:v>1391.912857142857</x:v>
      </x:c>
      <x:c r="T713" s="28" t="n">
        <x:f>IFERROR(N713/K713,0)</x:f>
        <x:v>1948.6779999999999</x:v>
      </x:c>
      <x:c r="U713" s="28" t="n">
        <x:f>IFERROR(N713/L713,0)</x:f>
        <x:v>2657.288181818182</x:v>
      </x:c>
    </x:row>
    <x:row r="714">
      <x:c r="A714" t="n">
        <x:v>713</x:v>
      </x:c>
      <x:c r="B714" s="26" t="n">
        <x:v>46201</x:v>
      </x:c>
      <x:c r="C714" t="str">
        <x:v>CPO_Premium</x:v>
      </x:c>
      <x:c r="D714" t="str">
        <x:v>TikTok Ads</x:v>
      </x:c>
      <x:c r="E714" t="str">
        <x:v>Funcionário Público</x:v>
      </x:c>
      <x:c r="F714" t="str">
        <x:v>Luanda</x:v>
      </x:c>
      <x:c r="G714" t="str">
        <x:v>iOS</x:v>
      </x:c>
      <x:c r="H714" t="n">
        <x:v>6442</x:v>
      </x:c>
      <x:c r="I714" t="n">
        <x:v>119</x:v>
      </x:c>
      <x:c r="J714" t="n">
        <x:v>9</x:v>
      </x:c>
      <x:c r="K714" t="n">
        <x:v>6</x:v>
      </x:c>
      <x:c r="L714" t="n">
        <x:v>5</x:v>
      </x:c>
      <x:c r="M714" s="28" t="n">
        <x:v>8429569.43</x:v>
      </x:c>
      <x:c r="N714" s="28" t="n">
        <x:v>9452.14</x:v>
      </x:c>
      <x:c r="O714" s="30" t="n">
        <x:f>IFERROR(I714/H714,0)</x:f>
        <x:v>0.01847252406085067</x:v>
      </x:c>
      <x:c r="P714" s="30" t="n">
        <x:f>IFERROR(J714/I714,0)</x:f>
        <x:v>0.07563025210084033</x:v>
      </x:c>
      <x:c r="Q714" s="30" t="n">
        <x:f>IFERROR(K714/J714,0)</x:f>
        <x:v>0.6666666666666666</x:v>
      </x:c>
      <x:c r="R714" s="30" t="n">
        <x:f>IFERROR(L714/K714,0)</x:f>
        <x:v>0.8333333333333334</x:v>
      </x:c>
      <x:c r="S714" s="28" t="n">
        <x:f>IFERROR(N714/J714,0)</x:f>
        <x:v>1050.2377777777776</x:v>
      </x:c>
      <x:c r="T714" s="28" t="n">
        <x:f>IFERROR(N714/K714,0)</x:f>
        <x:v>1575.3566666666666</x:v>
      </x:c>
      <x:c r="U714" s="28" t="n">
        <x:f>IFERROR(N714/L714,0)</x:f>
        <x:v>1890.4279999999999</x:v>
      </x:c>
    </x:row>
    <x:row r="715">
      <x:c r="A715" t="n">
        <x:v>714</x:v>
      </x:c>
      <x:c r="B715" s="26" t="n">
        <x:v>46202</x:v>
      </x:c>
      <x:c r="C715" t="str">
        <x:v>CPO_Digital_360</x:v>
      </x:c>
      <x:c r="D715" t="str">
        <x:v>Meta Ads</x:v>
      </x:c>
      <x:c r="E715" t="str">
        <x:v>Assalariado</x:v>
      </x:c>
      <x:c r="F715" t="str">
        <x:v>Benguela</x:v>
      </x:c>
      <x:c r="G715" t="str">
        <x:v>Desktop</x:v>
      </x:c>
      <x:c r="H715" t="n">
        <x:v>3861</x:v>
      </x:c>
      <x:c r="I715" t="n">
        <x:v>72</x:v>
      </x:c>
      <x:c r="J715" t="n">
        <x:v>8</x:v>
      </x:c>
      <x:c r="K715" t="n">
        <x:v>5</x:v>
      </x:c>
      <x:c r="L715" t="n">
        <x:v>3</x:v>
      </x:c>
      <x:c r="M715" s="28" t="n">
        <x:v>5386041.58</x:v>
      </x:c>
      <x:c r="N715" s="28" t="n">
        <x:v>8048.45</x:v>
      </x:c>
      <x:c r="O715" s="30" t="n">
        <x:f>IFERROR(I715/H715,0)</x:f>
        <x:v>0.018648018648018648</x:v>
      </x:c>
      <x:c r="P715" s="30" t="n">
        <x:f>IFERROR(J715/I715,0)</x:f>
        <x:v>0.1111111111111111</x:v>
      </x:c>
      <x:c r="Q715" s="30" t="n">
        <x:f>IFERROR(K715/J715,0)</x:f>
        <x:v>0.625</x:v>
      </x:c>
      <x:c r="R715" s="30" t="n">
        <x:f>IFERROR(L715/K715,0)</x:f>
        <x:v>0.6</x:v>
      </x:c>
      <x:c r="S715" s="28" t="n">
        <x:f>IFERROR(N715/J715,0)</x:f>
        <x:v>1006.05625</x:v>
      </x:c>
      <x:c r="T715" s="28" t="n">
        <x:f>IFERROR(N715/K715,0)</x:f>
        <x:v>1609.69</x:v>
      </x:c>
      <x:c r="U715" s="28" t="n">
        <x:f>IFERROR(N715/L715,0)</x:f>
        <x:v>2682.8166666666666</x:v>
      </x:c>
    </x:row>
    <x:row r="716">
      <x:c r="A716" t="n">
        <x:v>715</x:v>
      </x:c>
      <x:c r="B716" s="26" t="n">
        <x:v>46202</x:v>
      </x:c>
      <x:c r="C716" t="str">
        <x:v>CPO_Premium</x:v>
      </x:c>
      <x:c r="D716" t="str">
        <x:v>Meta Ads</x:v>
      </x:c>
      <x:c r="E716" t="str">
        <x:v>Premium</x:v>
      </x:c>
      <x:c r="F716" t="str">
        <x:v>Luanda</x:v>
      </x:c>
      <x:c r="G716" t="str">
        <x:v>Android</x:v>
      </x:c>
      <x:c r="H716" t="n">
        <x:v>3285</x:v>
      </x:c>
      <x:c r="I716" t="n">
        <x:v>47</x:v>
      </x:c>
      <x:c r="J716" t="n">
        <x:v>6</x:v>
      </x:c>
      <x:c r="K716" t="n">
        <x:v>4</x:v>
      </x:c>
      <x:c r="L716" t="n">
        <x:v>3</x:v>
      </x:c>
      <x:c r="M716" s="28" t="n">
        <x:v>14318133.61</x:v>
      </x:c>
      <x:c r="N716" s="28" t="n">
        <x:v>4054.07</x:v>
      </x:c>
      <x:c r="O716" s="30" t="n">
        <x:f>IFERROR(I716/H716,0)</x:f>
        <x:v>0.014307458143074582</x:v>
      </x:c>
      <x:c r="P716" s="30" t="n">
        <x:f>IFERROR(J716/I716,0)</x:f>
        <x:v>0.1276595744680851</x:v>
      </x:c>
      <x:c r="Q716" s="30" t="n">
        <x:f>IFERROR(K716/J716,0)</x:f>
        <x:v>0.6666666666666666</x:v>
      </x:c>
      <x:c r="R716" s="30" t="n">
        <x:f>IFERROR(L716/K716,0)</x:f>
        <x:v>0.75</x:v>
      </x:c>
      <x:c r="S716" s="28" t="n">
        <x:f>IFERROR(N716/J716,0)</x:f>
        <x:v>675.6783333333334</x:v>
      </x:c>
      <x:c r="T716" s="28" t="n">
        <x:f>IFERROR(N716/K716,0)</x:f>
        <x:v>1013.5175</x:v>
      </x:c>
      <x:c r="U716" s="28" t="n">
        <x:f>IFERROR(N716/L716,0)</x:f>
        <x:v>1351.3566666666668</x:v>
      </x:c>
    </x:row>
    <x:row r="717">
      <x:c r="A717" t="n">
        <x:v>716</x:v>
      </x:c>
      <x:c r="B717" s="26" t="n">
        <x:v>46202</x:v>
      </x:c>
      <x:c r="C717" t="str">
        <x:v>CPO_Fim_do_Mes</x:v>
      </x:c>
      <x:c r="D717" t="str">
        <x:v>SMS</x:v>
      </x:c>
      <x:c r="E717" t="str">
        <x:v>Assalariado</x:v>
      </x:c>
      <x:c r="F717" t="str">
        <x:v>Cuanza Sul</x:v>
      </x:c>
      <x:c r="G717" t="str">
        <x:v>iOS</x:v>
      </x:c>
      <x:c r="H717" t="n">
        <x:v>3337</x:v>
      </x:c>
      <x:c r="I717" t="n">
        <x:v>209</x:v>
      </x:c>
      <x:c r="J717" t="n">
        <x:v>28</x:v>
      </x:c>
      <x:c r="K717" t="n">
        <x:v>18</x:v>
      </x:c>
      <x:c r="L717" t="n">
        <x:v>12</x:v>
      </x:c>
      <x:c r="M717" s="28" t="n">
        <x:v>23438458.91</x:v>
      </x:c>
      <x:c r="N717" s="28" t="n">
        <x:v>14445.62</x:v>
      </x:c>
      <x:c r="O717" s="30" t="n">
        <x:f>IFERROR(I717/H717,0)</x:f>
        <x:v>0.062631105783638</x:v>
      </x:c>
      <x:c r="P717" s="30" t="n">
        <x:f>IFERROR(J717/I717,0)</x:f>
        <x:v>0.1339712918660287</x:v>
      </x:c>
      <x:c r="Q717" s="30" t="n">
        <x:f>IFERROR(K717/J717,0)</x:f>
        <x:v>0.6428571428571429</x:v>
      </x:c>
      <x:c r="R717" s="30" t="n">
        <x:f>IFERROR(L717/K717,0)</x:f>
        <x:v>0.6666666666666666</x:v>
      </x:c>
      <x:c r="S717" s="28" t="n">
        <x:f>IFERROR(N717/J717,0)</x:f>
        <x:v>515.9150000000001</x:v>
      </x:c>
      <x:c r="T717" s="28" t="n">
        <x:f>IFERROR(N717/K717,0)</x:f>
        <x:v>802.5344444444445</x:v>
      </x:c>
      <x:c r="U717" s="28" t="n">
        <x:f>IFERROR(N717/L717,0)</x:f>
        <x:v>1203.8016666666667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524ebbe38da54f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0" t="str">
        <x:v>Mes</x:v>
      </x:c>
      <x:c r="B1" s="20" t="str">
        <x:v>Meta_CTR</x:v>
      </x:c>
      <x:c r="C1" s="20" t="str">
        <x:v>Meta_Conversao_Solicitacao</x:v>
      </x:c>
      <x:c r="D1" s="20" t="str">
        <x:v>Meta_Taxa_Aprovacao</x:v>
      </x:c>
      <x:c r="E1" s="20" t="str">
        <x:v>Meta_CPA_AOA</x:v>
      </x:c>
      <x:c r="F1" s="20" t="str">
        <x:v>Meta_Aprovacoes</x:v>
      </x:c>
      <x:c r="G1" s="20" t="str">
        <x:v>Meta_Valor_Aprovado_AOA</x:v>
      </x:c>
    </x:row>
    <x:row r="2">
      <x:c r="A2" s="34" t="n">
        <x:v>46023</x:v>
      </x:c>
      <x:c r="B2" s="30" t="n">
        <x:v>0.027</x:v>
      </x:c>
      <x:c r="C2" s="30" t="n">
        <x:v>0.6</x:v>
      </x:c>
      <x:c r="D2" s="30" t="n">
        <x:v>0.65</x:v>
      </x:c>
      <x:c r="E2" s="28" t="n">
        <x:v>18000</x:v>
      </x:c>
      <x:c r="F2" s="28" t="n">
        <x:v>420</x:v>
      </x:c>
      <x:c r="G2" s="28" t="n">
        <x:v>900000000</x:v>
      </x:c>
    </x:row>
    <x:row r="3">
      <x:c r="A3" s="34" t="n">
        <x:v>46054</x:v>
      </x:c>
      <x:c r="B3" s="30" t="n">
        <x:v>0.027</x:v>
      </x:c>
      <x:c r="C3" s="30" t="n">
        <x:v>0.6</x:v>
      </x:c>
      <x:c r="D3" s="30" t="n">
        <x:v>0.65</x:v>
      </x:c>
      <x:c r="E3" s="28" t="n">
        <x:v>18000</x:v>
      </x:c>
      <x:c r="F3" s="28" t="n">
        <x:v>420</x:v>
      </x:c>
      <x:c r="G3" s="28" t="n">
        <x:v>900000000</x:v>
      </x:c>
    </x:row>
    <x:row r="4">
      <x:c r="A4" s="34" t="n">
        <x:v>46082</x:v>
      </x:c>
      <x:c r="B4" s="30" t="n">
        <x:v>0.027</x:v>
      </x:c>
      <x:c r="C4" s="30" t="n">
        <x:v>0.6</x:v>
      </x:c>
      <x:c r="D4" s="30" t="n">
        <x:v>0.65</x:v>
      </x:c>
      <x:c r="E4" s="28" t="n">
        <x:v>18000</x:v>
      </x:c>
      <x:c r="F4" s="28" t="n">
        <x:v>420</x:v>
      </x:c>
      <x:c r="G4" s="28" t="n">
        <x:v>900000000</x:v>
      </x:c>
    </x:row>
    <x:row r="5">
      <x:c r="A5" s="34" t="n">
        <x:v>46113</x:v>
      </x:c>
      <x:c r="B5" s="30" t="n">
        <x:v>0.027</x:v>
      </x:c>
      <x:c r="C5" s="30" t="n">
        <x:v>0.6</x:v>
      </x:c>
      <x:c r="D5" s="30" t="n">
        <x:v>0.65</x:v>
      </x:c>
      <x:c r="E5" s="28" t="n">
        <x:v>18000</x:v>
      </x:c>
      <x:c r="F5" s="28" t="n">
        <x:v>420</x:v>
      </x:c>
      <x:c r="G5" s="28" t="n">
        <x:v>900000000</x:v>
      </x:c>
    </x:row>
    <x:row r="6">
      <x:c r="A6" s="34" t="n">
        <x:v>46143</x:v>
      </x:c>
      <x:c r="B6" s="30" t="n">
        <x:v>0.027</x:v>
      </x:c>
      <x:c r="C6" s="30" t="n">
        <x:v>0.6</x:v>
      </x:c>
      <x:c r="D6" s="30" t="n">
        <x:v>0.65</x:v>
      </x:c>
      <x:c r="E6" s="28" t="n">
        <x:v>18000</x:v>
      </x:c>
      <x:c r="F6" s="28" t="n">
        <x:v>420</x:v>
      </x:c>
      <x:c r="G6" s="28" t="n">
        <x:v>900000000</x:v>
      </x:c>
    </x:row>
    <x:row r="7">
      <x:c r="A7" s="34" t="n">
        <x:v>46174</x:v>
      </x:c>
      <x:c r="B7" s="30" t="n">
        <x:v>0.027</x:v>
      </x:c>
      <x:c r="C7" s="30" t="n">
        <x:v>0.6</x:v>
      </x:c>
      <x:c r="D7" s="30" t="n">
        <x:v>0.65</x:v>
      </x:c>
      <x:c r="E7" s="28" t="n">
        <x:v>18000</x:v>
      </x:c>
      <x:c r="F7" s="28" t="n">
        <x:v>420</x:v>
      </x:c>
      <x:c r="G7" s="28" t="n">
        <x:v>900000000</x:v>
      </x:c>
    </x:row>
  </x:sheetData>
  <x:pageMargins left="0.7" right="0.7" top="0.75" bottom="0.75" header="0.3" footer="0.3"/>
  <x:tableParts count="1">
    <x:tablePart xmlns:r="http://schemas.openxmlformats.org/officeDocument/2006/relationships" r:id="Ra228364a8ce840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</x:cols>
  <x:sheetData>
    <x:row r="1">
      <x:c r="A1" s="20" t="str">
        <x:v>Campo/KPI</x:v>
      </x:c>
      <x:c r="B1" s="20" t="str">
        <x:v>Definição</x:v>
      </x:c>
    </x:row>
    <x:row r="2">
      <x:c r="A2" s="14" t="str">
        <x:v>CTR</x:v>
      </x:c>
      <x:c r="B2" s="14" t="str">
        <x:v>Cliques / Impressões</x:v>
      </x:c>
    </x:row>
    <x:row r="3">
      <x:c r="A3" s="14" t="str">
        <x:v>Taxa_Lead</x:v>
      </x:c>
      <x:c r="B3" s="14" t="str">
        <x:v>Leads / Cliques</x:v>
      </x:c>
    </x:row>
    <x:row r="4">
      <x:c r="A4" s="14" t="str">
        <x:v>Conversao_Solicitacao</x:v>
      </x:c>
      <x:c r="B4" s="14" t="str">
        <x:v>Solicitações / Leads</x:v>
      </x:c>
    </x:row>
    <x:row r="5">
      <x:c r="A5" s="14" t="str">
        <x:v>Taxa_Aprovacao</x:v>
      </x:c>
      <x:c r="B5" s="14" t="str">
        <x:v>Aprovações / Solicitações</x:v>
      </x:c>
    </x:row>
    <x:row r="6">
      <x:c r="A6" s="14" t="str">
        <x:v>CPL_AOA</x:v>
      </x:c>
      <x:c r="B6" s="14" t="str">
        <x:v>Investimento / Leads</x:v>
      </x:c>
    </x:row>
    <x:row r="7">
      <x:c r="A7" s="14" t="str">
        <x:v>CPA_AOA</x:v>
      </x:c>
      <x:c r="B7" s="14" t="str">
        <x:v>Investimento / Solicitações</x:v>
      </x:c>
    </x:row>
    <x:row r="8">
      <x:c r="A8" s="14" t="str">
        <x:v>Custo_por_Aprovacao_AOA</x:v>
      </x:c>
      <x:c r="B8" s="14" t="str">
        <x:v>Investimento / Aprovações</x:v>
      </x:c>
    </x:row>
    <x:row r="9">
      <x:c r="A9" s="14" t="str">
        <x:v>Valor_Aprovado_AOA</x:v>
      </x:c>
      <x:c r="B9" s="14" t="str">
        <x:v>Montante total de crédito aprovado na linha/campanha.</x:v>
      </x:c>
    </x:row>
    <x:row r="10">
      <x:c r="A10" s="14" t="str">
        <x:v>Segmento</x:v>
      </x:c>
      <x:c r="B10" s="14" t="str">
        <x:v>Perfil de cliente usado para análise de resposta à oferta.</x:v>
      </x:c>
    </x:row>
    <x:row r="11">
      <x:c r="A11" s="14" t="str">
        <x:v>Provincia</x:v>
      </x:c>
      <x:c r="B11" s="14" t="str">
        <x:v>Localização comercial simulada do contacto/conversão.</x:v>
      </x:c>
    </x:row>
    <x:row r="12">
      <x:c r="A12" s="14" t="str">
        <x:v>Dispositivo</x:v>
      </x:c>
      <x:c r="B12" s="14" t="str">
        <x:v>Plataforma de acesso usada na campanha.</x:v>
      </x:c>
    </x:row>
  </x:sheetData>
  <x:pageMargins left="0.7" right="0.7" top="0.75" bottom="0.75" header="0.3" footer="0.3"/>
</x:worksheet>
</file>

<file path=xl/worksheets/sheet5.xml><?xml version="1.0" encoding="utf-8"?>
<ns0:worksheet xmlns:ns0="http://schemas.openxmlformats.org/spreadsheetml/2006/main" xmlns:ns1="http://schemas.openxmlformats.org/officeDocument/2006/relationships">
  <ns0:sheetFormatPr defaultRowHeight="15"/>
  <ns0:cols>
    <ns0:col min="1" max="1" width="34" hidden="0" customWidth="1"/>
    <ns0:col min="2" max="2" width="34" hidden="0" customWidth="1"/>
    <ns0:col min="3" max="3" width="58" hidden="0" customWidth="1"/>
  </ns0:cols>
  <ns0:sheetData>
    <ns0:row r="1">
      <ns0:c r="A1" s="4" t="str">
        <ns0:v>Resumo Executivo — Projecto 1</ns0:v>
      </ns0:c>
      <ns0:c r="B1" s="4"/>
      <ns0:c r="C1" s="4"/>
      <ns0:c r="D1" s="4"/>
      <ns0:c r="E1" s="4"/>
      <ns0:c r="F1" s="4"/>
      <ns0:c r="G1" s="4"/>
      <ns0:c r="H1" s="4"/>
    </ns0:row>
    <ns0:row r="3">
      <ns0:c r="A3" s="20" t="str">
        <ns0:v>KPI</ns0:v>
      </ns0:c>
      <ns0:c r="B3" s="20" t="str">
        <ns0:v>Valor</ns0:v>
      </ns0:c>
      <ns0:c r="C3" s="20" t="str">
        <ns0:v>Interpretação</ns0:v>
      </ns0:c>
      <ns0:c r="E3" s="20" t="str">
        <ns0:v>Mês</ns0:v>
      </ns0:c>
      <ns0:c r="F3" s="20" t="str">
        <ns0:v>Aprovações</ns0:v>
      </ns0:c>
      <ns0:c r="G3" s="20" t="str">
        <ns0:v>Valor Aprovado</ns0:v>
      </ns0:c>
    </ns0:row>
    <ns0:row r="4">
      <ns0:c r="A4" s="14" t="str">
        <ns0:v>Investimento Total</ns0:v>
      </ns0:c>
      <ns0:c r="B4" s="36" t="n">
        <ns0:f>SUM(Campanhas!N2:N9999)</ns0:f>
        <ns0:v>39242151.24999999</ns0:v>
      </ns0:c>
      <ns0:c r="C4" s="14" t="str">
        <ns0:v>Quanto foi investido nas acções.</ns0:v>
      </ns0:c>
      <ns0:c r="E4" s="34" t="n">
        <ns0:v>46023</ns0:v>
      </ns0:c>
      <ns0:c r="F4" t="n">
        <ns0:f>SUMIFS(Campanhas!$L:$L,Campanhas!$B:$B,"&gt;="&amp;E4,Campanhas!$B:$B,"&lt;"&amp;EDATE(E4,1))</ns0:f>
        <ns0:v>3925</ns0:v>
      </ns0:c>
      <ns0:c r="G4" s="40" t="n">
        <ns0:f>SUMIFS(Campanhas!$M:$M,Campanhas!$B:$B,"&gt;="&amp;E4,Campanhas!$B:$B,"&lt;"&amp;EDATE(E4,1))</ns0:f>
        <ns0:v>11902544172.31</ns0:v>
      </ns0:c>
    </ns0:row>
    <ns0:row r="5">
      <ns0:c r="A5" s="14" t="str">
        <ns0:v>Impressões</ns0:v>
      </ns0:c>
      <ns0:c r="B5" s="36" t="n">
        <ns0:f>SUM(Campanhas!H2:H9999)</ns0:f>
        <ns0:v>7872227</ns0:v>
      </ns0:c>
      <ns0:c r="C5" s="14" t="str">
        <ns0:v>Alcance bruto das peças/canais.</ns0:v>
      </ns0:c>
      <ns0:c r="E5" s="34" t="n">
        <ns0:v>46054</ns0:v>
      </ns0:c>
      <ns0:c r="F5" t="n">
        <ns0:f>SUMIFS(Campanhas!$L:$L,Campanhas!$B:$B,"&gt;="&amp;E5,Campanhas!$B:$B,"&lt;"&amp;EDATE(E5,1))</ns0:f>
        <ns0:v>2976</ns0:v>
      </ns0:c>
      <ns0:c r="G5" s="40" t="n">
        <ns0:f>SUMIFS(Campanhas!$M:$M,Campanhas!$B:$B,"&gt;="&amp;E5,Campanhas!$B:$B,"&lt;"&amp;EDATE(E5,1))</ns0:f>
        <ns0:v>7737733192.169999</ns0:v>
      </ns0:c>
    </ns0:row>
    <ns0:row r="6">
      <ns0:c r="A6" s="14" t="str">
        <ns0:v>Cliques</ns0:v>
      </ns0:c>
      <ns0:c r="B6" s="36" t="n">
        <ns0:f>SUM(Campanhas!I2:I9999)</ns0:f>
        <ns0:v>324862</ns0:v>
      </ns0:c>
      <ns0:c r="C6" s="14" t="str">
        <ns0:v>Interacções geradas.</ns0:v>
      </ns0:c>
      <ns0:c r="E6" s="34" t="n">
        <ns0:v>46082</ns0:v>
      </ns0:c>
      <ns0:c r="F6" t="n">
        <ns0:f>SUMIFS(Campanhas!$L:$L,Campanhas!$B:$B,"&gt;="&amp;E6,Campanhas!$B:$B,"&lt;"&amp;EDATE(E6,1))</ns0:f>
        <ns0:v>3387</ns0:v>
      </ns0:c>
      <ns0:c r="G6" s="40" t="n">
        <ns0:f>SUMIFS(Campanhas!$M:$M,Campanhas!$B:$B,"&gt;="&amp;E6,Campanhas!$B:$B,"&lt;"&amp;EDATE(E6,1))</ns0:f>
        <ns0:v>9390520011.37</ns0:v>
      </ns0:c>
    </ns0:row>
    <ns0:row r="7">
      <ns0:c r="A7" s="14" t="str">
        <ns0:v>Leads</ns0:v>
      </ns0:c>
      <ns0:c r="B7" s="36" t="n">
        <ns0:f>SUM(Campanhas!J2:J9999)</ns0:f>
        <ns0:v>49145</ns0:v>
      </ns0:c>
      <ns0:c r="C7" s="14" t="str">
        <ns0:v>Potenciais clientes.</ns0:v>
      </ns0:c>
      <ns0:c r="E7" s="34" t="n">
        <ns0:v>46113</ns0:v>
      </ns0:c>
      <ns0:c r="F7" t="n">
        <ns0:f>SUMIFS(Campanhas!$L:$L,Campanhas!$B:$B,"&gt;="&amp;E7,Campanhas!$B:$B,"&lt;"&amp;EDATE(E7,1))</ns0:f>
        <ns0:v>3488</ns0:v>
      </ns0:c>
      <ns0:c r="G7" s="40" t="n">
        <ns0:f>SUMIFS(Campanhas!$M:$M,Campanhas!$B:$B,"&gt;="&amp;E7,Campanhas!$B:$B,"&lt;"&amp;EDATE(E7,1))</ns0:f>
        <ns0:v>9597413983.660002</ns0:v>
      </ns0:c>
    </ns0:row>
    <ns0:row r="8">
      <ns0:c r="A8" s="14" t="str">
        <ns0:v>Solicitações</ns0:v>
      </ns0:c>
      <ns0:c r="B8" s="36" t="n">
        <ns0:f>SUM(Campanhas!K2:K9999)</ns0:f>
        <ns0:v>30115</ns0:v>
      </ns0:c>
      <ns0:c r="C8" s="14" t="str">
        <ns0:v>Pedidos iniciados.</ns0:v>
      </ns0:c>
      <ns0:c r="E8" s="34" t="n">
        <ns0:v>46143</ns0:v>
      </ns0:c>
      <ns0:c r="F8" t="n">
        <ns0:f>SUMIFS(Campanhas!$L:$L,Campanhas!$B:$B,"&gt;="&amp;E8,Campanhas!$B:$B,"&lt;"&amp;EDATE(E8,1))</ns0:f>
        <ns0:v>3064</ns0:v>
      </ns0:c>
      <ns0:c r="G8" s="40" t="n">
        <ns0:f>SUMIFS(Campanhas!$M:$M,Campanhas!$B:$B,"&gt;="&amp;E8,Campanhas!$B:$B,"&lt;"&amp;EDATE(E8,1))</ns0:f>
        <ns0:v>8634551498.680002</ns0:v>
      </ns0:c>
    </ns0:row>
    <ns0:row r="9">
      <ns0:c r="A9" s="14" t="str">
        <ns0:v>Aprovações</ns0:v>
      </ns0:c>
      <ns0:c r="B9" s="36" t="n">
        <ns0:f>SUM(Campanhas!L2:L9999)</ns0:f>
        <ns0:v>19654</ns0:v>
      </ns0:c>
      <ns0:c r="C9" s="14" t="str">
        <ns0:v>Créditos aprovados.</ns0:v>
      </ns0:c>
      <ns0:c r="E9" s="34" t="n">
        <ns0:v>46174</ns0:v>
      </ns0:c>
      <ns0:c r="F9" t="n">
        <ns0:f>SUMIFS(Campanhas!$L:$L,Campanhas!$B:$B,"&gt;="&amp;E9,Campanhas!$B:$B,"&lt;"&amp;EDATE(E9,1))</ns0:f>
        <ns0:v>2814</ns0:v>
      </ns0:c>
      <ns0:c r="G9" s="40" t="n">
        <ns0:f>SUMIFS(Campanhas!$M:$M,Campanhas!$B:$B,"&gt;="&amp;E9,Campanhas!$B:$B,"&lt;"&amp;EDATE(E9,1))</ns0:f>
        <ns0:v>7941205236.829999</ns0:v>
      </ns0:c>
    </ns0:row>
    <ns0:row r="10">
      <ns0:c r="A10" s="14" t="str">
        <ns0:v>Valor Aprovado</ns0:v>
      </ns0:c>
      <ns0:c r="B10" s="36" t="n">
        <ns0:f>SUM(Campanhas!M2:M9999)</ns0:f>
        <ns0:v>55203968095.02</ns0:v>
      </ns0:c>
      <ns0:c r="C10" s="14" t="str">
        <ns0:v>Montante aprovado.</ns0:v>
      </ns0:c>
    </ns0:row>
    <ns0:row r="11">
      <ns0:c r="A11" s="14" t="str">
        <ns0:v>CTR Global</ns0:v>
      </ns0:c>
      <ns0:c r="B11" s="38" t="n">
        <ns0:f>IFERROR(B6/B5,0)</ns0:f>
      </ns0:c>
      <ns0:c r="C11" s="14" t="str">
        <ns0:v>Eficiência do anúncio em gerar clique.</ns0:v>
      </ns0:c>
    </ns0:row>
    <ns0:row r="12">
      <ns0:c r="A12" s="14" t="str">
        <ns0:v>Conversão Lead→Solicitação</ns0:v>
      </ns0:c>
      <ns0:c r="B12" s="38" t="n">
        <ns0:f>IFERROR(B8/B7,0)</ns0:f>
      </ns0:c>
      <ns0:c r="C12" s="14" t="str">
        <ns0:v>Capacidade de transformar interesse em pedido.</ns0:v>
      </ns0:c>
    </ns0:row>
    <ns0:row r="13">
      <ns0:c r="A13" s="14" t="str">
        <ns0:v>Taxa de Aprovação</ns0:v>
      </ns0:c>
      <ns0:c r="B13" s="38" t="n">
        <ns0:f>IFERROR(B9/B8,0)</ns0:f>
      </ns0:c>
      <ns0:c r="C13" s="14" t="str">
        <ns0:v>Qualidade/elegibilidade das solicitações.</ns0:v>
      </ns0:c>
    </ns0:row>
    <ns0:row r="14">
      <ns0:c r="A14" s="14" t="str">
        <ns0:v>CPA Global</ns0:v>
      </ns0:c>
      <ns0:c r="B14" s="36" t="n">
        <ns0:f>IFERROR(B4/B8,0)</ns0:f>
      </ns0:c>
      <ns0:c r="C14" s="14" t="str">
        <ns0:v>Custo médio por solicitação.</ns0:v>
      </ns0:c>
    </ns0:row>
    <ns0:row r="15">
      <ns0:c r="A15" s="14" t="str">
        <ns0:v>Custo por Aprovação</ns0:v>
      </ns0:c>
      <ns0:c r="B15" s="36" t="n">
        <ns0:f>IFERROR(B4/B9,0)</ns0:f>
      </ns0:c>
      <ns0:c r="C15" s="14" t="str">
        <ns0:v>Custo de aquisição por crédito aprovado.</ns0:v>
      </ns0:c>
    </ns0:row>
    <ns0:row r="16">
      <ns0:c r="A16" s="14"/>
      <ns0:c r="B16" s="14"/>
      <ns0:c r="C16" s="14"/>
    </ns0:row>
    <ns0:row r="17">
      <ns0:c r="A17" s="14"/>
      <ns0:c r="B17" s="14"/>
      <ns0:c r="C17" s="14"/>
    </ns0:row>
    <ns0:row r="18">
      <ns0:c r="A18" s="14"/>
      <ns0:c r="B18" s="14"/>
      <ns0:c r="C18" s="14"/>
    </ns0:row>
    <ns0:row r="19">
      <ns0:c r="A19" s="14"/>
      <ns0:c r="B19" s="14"/>
      <ns0:c r="C19" s="14"/>
    </ns0:row>
    <ns0:row r="20">
      <ns0:c r="A20" s="14"/>
      <ns0:c r="B20" s="14"/>
      <ns0:c r="C20" s="14"/>
    </ns0:row>
  </ns0:sheetData>
  <ns0:mergeCells>
    <ns0:mergeCell ref="A1:H1"/>
  </ns0:mergeCells>
  <ns0:pageMargins left="0.7" right="0.7" top="0.75" bottom="0.75" header="0.3" footer="0.3"/>
  <ns0:drawing ns1:id="R6121d59339ea4e6f"/>
</ns0:worksheet>
</file>