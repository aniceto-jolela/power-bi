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928A14BF-3993-4379-98F8-10FB0F50B950}" xr6:coauthVersionLast="47" xr6:coauthVersionMax="47" xr10:uidLastSave="{00000000-0000-0000-0000-000000000000}"/>
  <bookViews>
    <workbookView xWindow="-120" yWindow="-120" windowWidth="29040" windowHeight="15840" xr2:uid="{B58CED04-352A-49A4-B02F-B7C1EFFE423F}"/>
  </bookViews>
  <sheets>
    <sheet name="TABELA DINAMICA" sheetId="2" r:id="rId1"/>
    <sheet name="TABELA  DINAMICA RECOMENDADA" sheetId="3" r:id="rId2"/>
    <sheet name="Pauta final" sheetId="1" r:id="rId3"/>
    <sheet name="RELATORIO FINAL" sheetId="4" r:id="rId4"/>
  </sheets>
  <definedNames>
    <definedName name="_xlnm._FilterDatabase" localSheetId="2" hidden="1">'Pauta final'!$B$4:$I$4</definedName>
  </definedNames>
  <calcPr calcId="191029"/>
  <pivotCaches>
    <pivotCache cacheId="3" r:id="rId5"/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I21" i="1"/>
  <c r="H19" i="1"/>
  <c r="I19" i="1"/>
  <c r="H16" i="1" l="1"/>
  <c r="I15" i="1"/>
  <c r="I16" i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7" i="1"/>
  <c r="I17" i="1" s="1"/>
  <c r="H18" i="1"/>
  <c r="I18" i="1" s="1"/>
  <c r="H20" i="1"/>
  <c r="I20" i="1" s="1"/>
  <c r="H5" i="1"/>
  <c r="I5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<sst xmlns="http://schemas.openxmlformats.org/spreadsheetml/2006/main" count="107" uniqueCount="35">
  <si>
    <t>PAUTA FINAL</t>
  </si>
  <si>
    <t>Nº</t>
  </si>
  <si>
    <t>NOME</t>
  </si>
  <si>
    <t>P1</t>
  </si>
  <si>
    <t>P2</t>
  </si>
  <si>
    <t>P3</t>
  </si>
  <si>
    <t>MÉDIA</t>
  </si>
  <si>
    <t>Arthur Da Sílva</t>
  </si>
  <si>
    <t>Lucas Campos</t>
  </si>
  <si>
    <t>Mauro Guilherme</t>
  </si>
  <si>
    <t>Matias Miguel</t>
  </si>
  <si>
    <t>Wyllian José</t>
  </si>
  <si>
    <t>Liliane Filipe</t>
  </si>
  <si>
    <t>Joyce Guorgel</t>
  </si>
  <si>
    <t>Wayela</t>
  </si>
  <si>
    <t>Ruth Filipe</t>
  </si>
  <si>
    <t>Marta Gonga</t>
  </si>
  <si>
    <t>Hélio Batista</t>
  </si>
  <si>
    <t>Jacinto Domingos</t>
  </si>
  <si>
    <t>Dilsia</t>
  </si>
  <si>
    <t>Deni</t>
  </si>
  <si>
    <t>RESULTADO</t>
  </si>
  <si>
    <t>GENERO</t>
  </si>
  <si>
    <t>M</t>
  </si>
  <si>
    <t>F</t>
  </si>
  <si>
    <t>Soma de MÉDIA</t>
  </si>
  <si>
    <t>Rótulos de Coluna</t>
  </si>
  <si>
    <t>Rótulos de Linha</t>
  </si>
  <si>
    <t>APROVADO</t>
  </si>
  <si>
    <t>REPROVADO</t>
  </si>
  <si>
    <t>Total Geral</t>
  </si>
  <si>
    <t>kelly</t>
  </si>
  <si>
    <t>Julio</t>
  </si>
  <si>
    <t>PAUTA</t>
  </si>
  <si>
    <t>Clarisse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</si>
</sst>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1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0" fontId="5" fillId="2" borderId="0" xfId="0" applyFont="1" applyFill="1"/>
    <xf numFmtId="0" fontId="0" fillId="0" borderId="2" xfId="0" applyBorder="1"/>
    <xf numFmtId="1" fontId="0" fillId="0" borderId="2" xfId="0" applyNumberFormat="1" applyBorder="1"/>
    <xf numFmtId="0" fontId="0" fillId="0" borderId="0" xfId="0" applyAlignment="1">
      <alignment horizontal="left" indent="2"/>
    </xf>
  </cellXfs>
  <cellStyles count="1">
    <cellStyle name="Normal" xfId="0" builtinId="0"/>
  </cellStyles>
  <dxfs count="2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[AULA001.xlsx]TABELA DINAMICA!Tabela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DINAMICA'!$B$3:$B$4</c:f>
              <c:strCache>
                <c:ptCount val="1"/>
                <c:pt idx="0">
                  <c:v>APROVADO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'TABELA DINAMICA'!$A$5:$A$54</c:f>
              <c:multiLvlStrCache>
                <c:ptCount val="17"/>
                <c:lvl>
                  <c:pt idx="1">
                    <c:v>M</c:v>
                  </c:pt>
                  <c:pt idx="2">
                    <c:v>M</c:v>
                  </c:pt>
                  <c:pt idx="3">
                    <c:v>M</c:v>
                  </c:pt>
                  <c:pt idx="4">
                    <c:v>M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F</c:v>
                  </c:pt>
                </c:lvl>
                <c:lvl>
                  <c:pt idx="1">
                    <c:v>Lucas Campos</c:v>
                  </c:pt>
                  <c:pt idx="2">
                    <c:v>Mauro Guilherme</c:v>
                  </c:pt>
                  <c:pt idx="3">
                    <c:v>Matias Miguel</c:v>
                  </c:pt>
                  <c:pt idx="4">
                    <c:v>Wyllian José</c:v>
                  </c:pt>
                  <c:pt idx="5">
                    <c:v>Liliane Filipe</c:v>
                  </c:pt>
                  <c:pt idx="6">
                    <c:v>Joyce Guorgel</c:v>
                  </c:pt>
                  <c:pt idx="7">
                    <c:v>Wayela</c:v>
                  </c:pt>
                  <c:pt idx="8">
                    <c:v>Ruth Filipe</c:v>
                  </c:pt>
                  <c:pt idx="9">
                    <c:v>Marta Gonga</c:v>
                  </c:pt>
                  <c:pt idx="10">
                    <c:v>Hélio Batista</c:v>
                  </c:pt>
                  <c:pt idx="11">
                    <c:v>Jacinto Domingos</c:v>
                  </c:pt>
                  <c:pt idx="12">
                    <c:v>Dilsia</c:v>
                  </c:pt>
                  <c:pt idx="13">
                    <c:v>Deni</c:v>
                  </c:pt>
                  <c:pt idx="14">
                    <c:v>Julio</c:v>
                  </c:pt>
                  <c:pt idx="15">
                    <c:v>kelly</c:v>
                  </c:pt>
                  <c:pt idx="16">
                    <c:v>Clarisse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:lvl>
              </c:multiLvlStrCache>
            </c:multiLvlStrRef>
          </c:cat>
          <c:val>
            <c:numRef>
              <c:f>'TABELA DINAMICA'!$B$5:$B$54</c:f>
              <c:numCache>
                <c:formatCode>0</c:formatCode>
                <c:ptCount val="17"/>
                <c:pt idx="1">
                  <c:v>12.333333333333334</c:v>
                </c:pt>
                <c:pt idx="2">
                  <c:v>11</c:v>
                </c:pt>
                <c:pt idx="3">
                  <c:v>12.333333333333334</c:v>
                </c:pt>
                <c:pt idx="4">
                  <c:v>10.666666666666666</c:v>
                </c:pt>
                <c:pt idx="5">
                  <c:v>13.333333333333334</c:v>
                </c:pt>
                <c:pt idx="6">
                  <c:v>11</c:v>
                </c:pt>
                <c:pt idx="8">
                  <c:v>12.333333333333334</c:v>
                </c:pt>
                <c:pt idx="9">
                  <c:v>12.333333333333334</c:v>
                </c:pt>
                <c:pt idx="12">
                  <c:v>10.666666666666666</c:v>
                </c:pt>
                <c:pt idx="13">
                  <c:v>10</c:v>
                </c:pt>
                <c:pt idx="14">
                  <c:v>11</c:v>
                </c:pt>
                <c:pt idx="15">
                  <c:v>11.666666666666666</c:v>
                </c:pt>
                <c:pt idx="16">
                  <c:v>14.333333333333334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F-4A75-BDBF-AD9E1104CEB4}"/>
            </c:ext>
          </c:extLst>
        </c:ser>
        <c:ser>
          <c:idx val="1"/>
          <c:order val="1"/>
          <c:tx>
            <c:strRef>
              <c:f>'TABELA DINAMICA'!$C$3:$C$4</c:f>
              <c:strCache>
                <c:ptCount val="1"/>
                <c:pt idx="0">
                  <c:v>REPROVADO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'TABELA DINAMICA'!$A$5:$A$54</c:f>
              <c:multiLvlStrCache>
                <c:ptCount val="17"/>
                <c:lvl>
                  <c:pt idx="1">
                    <c:v>M</c:v>
                  </c:pt>
                  <c:pt idx="2">
                    <c:v>M</c:v>
                  </c:pt>
                  <c:pt idx="3">
                    <c:v>M</c:v>
                  </c:pt>
                  <c:pt idx="4">
                    <c:v>M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F</c:v>
                  </c:pt>
                </c:lvl>
                <c:lvl>
                  <c:pt idx="1">
                    <c:v>Lucas Campos</c:v>
                  </c:pt>
                  <c:pt idx="2">
                    <c:v>Mauro Guilherme</c:v>
                  </c:pt>
                  <c:pt idx="3">
                    <c:v>Matias Miguel</c:v>
                  </c:pt>
                  <c:pt idx="4">
                    <c:v>Wyllian José</c:v>
                  </c:pt>
                  <c:pt idx="5">
                    <c:v>Liliane Filipe</c:v>
                  </c:pt>
                  <c:pt idx="6">
                    <c:v>Joyce Guorgel</c:v>
                  </c:pt>
                  <c:pt idx="7">
                    <c:v>Wayela</c:v>
                  </c:pt>
                  <c:pt idx="8">
                    <c:v>Ruth Filipe</c:v>
                  </c:pt>
                  <c:pt idx="9">
                    <c:v>Marta Gonga</c:v>
                  </c:pt>
                  <c:pt idx="10">
                    <c:v>Hélio Batista</c:v>
                  </c:pt>
                  <c:pt idx="11">
                    <c:v>Jacinto Domingos</c:v>
                  </c:pt>
                  <c:pt idx="12">
                    <c:v>Dilsia</c:v>
                  </c:pt>
                  <c:pt idx="13">
                    <c:v>Deni</c:v>
                  </c:pt>
                  <c:pt idx="14">
                    <c:v>Julio</c:v>
                  </c:pt>
                  <c:pt idx="15">
                    <c:v>kelly</c:v>
                  </c:pt>
                  <c:pt idx="16">
                    <c:v>Clarisse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:lvl>
              </c:multiLvlStrCache>
            </c:multiLvlStrRef>
          </c:cat>
          <c:val>
            <c:numRef>
              <c:f>'TABELA DINAMICA'!$C$5:$C$54</c:f>
              <c:numCache>
                <c:formatCode>0</c:formatCode>
                <c:ptCount val="17"/>
                <c:pt idx="0">
                  <c:v>5.666666666666667</c:v>
                </c:pt>
                <c:pt idx="7">
                  <c:v>9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4F-4A75-BDBF-AD9E1104C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516959"/>
        <c:axId val="1717257423"/>
      </c:barChart>
      <c:catAx>
        <c:axId val="187351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17257423"/>
        <c:crosses val="autoZero"/>
        <c:auto val="1"/>
        <c:lblAlgn val="ctr"/>
        <c:lblOffset val="100"/>
        <c:noMultiLvlLbl val="0"/>
      </c:catAx>
      <c:valAx>
        <c:axId val="171725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7351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[AULA001.xlsx]TABELA DINAMICA!Tabela dinâmica1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DINAMICA'!$B$3:$B$4</c:f>
              <c:strCache>
                <c:ptCount val="1"/>
                <c:pt idx="0">
                  <c:v>APROVADO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'TABELA DINAMICA'!$A$5:$A$54</c:f>
              <c:multiLvlStrCache>
                <c:ptCount val="17"/>
                <c:lvl>
                  <c:pt idx="1">
                    <c:v>M</c:v>
                  </c:pt>
                  <c:pt idx="2">
                    <c:v>M</c:v>
                  </c:pt>
                  <c:pt idx="3">
                    <c:v>M</c:v>
                  </c:pt>
                  <c:pt idx="4">
                    <c:v>M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F</c:v>
                  </c:pt>
                </c:lvl>
                <c:lvl>
                  <c:pt idx="1">
                    <c:v>Lucas Campos</c:v>
                  </c:pt>
                  <c:pt idx="2">
                    <c:v>Mauro Guilherme</c:v>
                  </c:pt>
                  <c:pt idx="3">
                    <c:v>Matias Miguel</c:v>
                  </c:pt>
                  <c:pt idx="4">
                    <c:v>Wyllian José</c:v>
                  </c:pt>
                  <c:pt idx="5">
                    <c:v>Liliane Filipe</c:v>
                  </c:pt>
                  <c:pt idx="6">
                    <c:v>Joyce Guorgel</c:v>
                  </c:pt>
                  <c:pt idx="7">
                    <c:v>Wayela</c:v>
                  </c:pt>
                  <c:pt idx="8">
                    <c:v>Ruth Filipe</c:v>
                  </c:pt>
                  <c:pt idx="9">
                    <c:v>Marta Gonga</c:v>
                  </c:pt>
                  <c:pt idx="10">
                    <c:v>Hélio Batista</c:v>
                  </c:pt>
                  <c:pt idx="11">
                    <c:v>Jacinto Domingos</c:v>
                  </c:pt>
                  <c:pt idx="12">
                    <c:v>Dilsia</c:v>
                  </c:pt>
                  <c:pt idx="13">
                    <c:v>Deni</c:v>
                  </c:pt>
                  <c:pt idx="14">
                    <c:v>Julio</c:v>
                  </c:pt>
                  <c:pt idx="15">
                    <c:v>kelly</c:v>
                  </c:pt>
                  <c:pt idx="16">
                    <c:v>Clarisse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:lvl>
              </c:multiLvlStrCache>
            </c:multiLvlStrRef>
          </c:cat>
          <c:val>
            <c:numRef>
              <c:f>'TABELA DINAMICA'!$B$5:$B$54</c:f>
              <c:numCache>
                <c:formatCode>0</c:formatCode>
                <c:ptCount val="17"/>
                <c:pt idx="1">
                  <c:v>12.333333333333334</c:v>
                </c:pt>
                <c:pt idx="2">
                  <c:v>11</c:v>
                </c:pt>
                <c:pt idx="3">
                  <c:v>12.333333333333334</c:v>
                </c:pt>
                <c:pt idx="4">
                  <c:v>10.666666666666666</c:v>
                </c:pt>
                <c:pt idx="5">
                  <c:v>13.333333333333334</c:v>
                </c:pt>
                <c:pt idx="6">
                  <c:v>11</c:v>
                </c:pt>
                <c:pt idx="8">
                  <c:v>12.333333333333334</c:v>
                </c:pt>
                <c:pt idx="9">
                  <c:v>12.333333333333334</c:v>
                </c:pt>
                <c:pt idx="12">
                  <c:v>10.666666666666666</c:v>
                </c:pt>
                <c:pt idx="13">
                  <c:v>10</c:v>
                </c:pt>
                <c:pt idx="14">
                  <c:v>11</c:v>
                </c:pt>
                <c:pt idx="15">
                  <c:v>11.666666666666666</c:v>
                </c:pt>
                <c:pt idx="16">
                  <c:v>14.333333333333334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5-4AA3-8DC2-396F3B5B618F}"/>
            </c:ext>
          </c:extLst>
        </c:ser>
        <c:ser>
          <c:idx val="1"/>
          <c:order val="1"/>
          <c:tx>
            <c:strRef>
              <c:f>'TABELA DINAMICA'!$C$3:$C$4</c:f>
              <c:strCache>
                <c:ptCount val="1"/>
                <c:pt idx="0">
                  <c:v>REPROVADO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'TABELA DINAMICA'!$A$5:$A$54</c:f>
              <c:multiLvlStrCache>
                <c:ptCount val="17"/>
                <c:lvl>
                  <c:pt idx="1">
                    <c:v>M</c:v>
                  </c:pt>
                  <c:pt idx="2">
                    <c:v>M</c:v>
                  </c:pt>
                  <c:pt idx="3">
                    <c:v>M</c:v>
                  </c:pt>
                  <c:pt idx="4">
                    <c:v>M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  <c:pt idx="14">
                    <c:v>M</c:v>
                  </c:pt>
                  <c:pt idx="15">
                    <c:v>M</c:v>
                  </c:pt>
                  <c:pt idx="16">
                    <c:v>F</c:v>
                  </c:pt>
                </c:lvl>
                <c:lvl>
                  <c:pt idx="1">
                    <c:v>Lucas Campos</c:v>
                  </c:pt>
                  <c:pt idx="2">
                    <c:v>Mauro Guilherme</c:v>
                  </c:pt>
                  <c:pt idx="3">
                    <c:v>Matias Miguel</c:v>
                  </c:pt>
                  <c:pt idx="4">
                    <c:v>Wyllian José</c:v>
                  </c:pt>
                  <c:pt idx="5">
                    <c:v>Liliane Filipe</c:v>
                  </c:pt>
                  <c:pt idx="6">
                    <c:v>Joyce Guorgel</c:v>
                  </c:pt>
                  <c:pt idx="7">
                    <c:v>Wayela</c:v>
                  </c:pt>
                  <c:pt idx="8">
                    <c:v>Ruth Filipe</c:v>
                  </c:pt>
                  <c:pt idx="9">
                    <c:v>Marta Gonga</c:v>
                  </c:pt>
                  <c:pt idx="10">
                    <c:v>Hélio Batista</c:v>
                  </c:pt>
                  <c:pt idx="11">
                    <c:v>Jacinto Domingos</c:v>
                  </c:pt>
                  <c:pt idx="12">
                    <c:v>Dilsia</c:v>
                  </c:pt>
                  <c:pt idx="13">
                    <c:v>Deni</c:v>
                  </c:pt>
                  <c:pt idx="14">
                    <c:v>Julio</c:v>
                  </c:pt>
                  <c:pt idx="15">
                    <c:v>kelly</c:v>
                  </c:pt>
                  <c:pt idx="16">
                    <c:v>Clarisse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:lvl>
              </c:multiLvlStrCache>
            </c:multiLvlStrRef>
          </c:cat>
          <c:val>
            <c:numRef>
              <c:f>'TABELA DINAMICA'!$C$5:$C$54</c:f>
              <c:numCache>
                <c:formatCode>0</c:formatCode>
                <c:ptCount val="17"/>
                <c:pt idx="0">
                  <c:v>5.666666666666667</c:v>
                </c:pt>
                <c:pt idx="7">
                  <c:v>9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5-4AA3-8DC2-396F3B5B6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516959"/>
        <c:axId val="1717257423"/>
      </c:barChart>
      <c:catAx>
        <c:axId val="187351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17257423"/>
        <c:crosses val="autoZero"/>
        <c:auto val="1"/>
        <c:lblAlgn val="ctr"/>
        <c:lblOffset val="100"/>
        <c:noMultiLvlLbl val="0"/>
      </c:catAx>
      <c:valAx>
        <c:axId val="171725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7351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486103</xdr:colOff>
      <xdr:row>1</xdr:row>
      <xdr:rowOff>164223</xdr:rowOff>
    </xdr:from>
    <xdr:to>
      <xdr:col>12</xdr:col>
      <xdr:colOff>807983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B0A2C0-9D54-4410-B861-4B1EA23E4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2</xdr:row>
      <xdr:rowOff>0</xdr:rowOff>
    </xdr:from>
    <xdr:to>
      <xdr:col>29</xdr:col>
      <xdr:colOff>133349</xdr:colOff>
      <xdr:row>43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00FB0A-8A16-43BC-9AC6-0E2E846FC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61.494995601854" createdVersion="6" refreshedVersion="6" minRefreshableVersion="3" recordCount="16" xr:uid="{4C4AB37D-F53E-4AD4-A770-B0A5BC790D89}">
  <cacheSource type="worksheet">
    <worksheetSource ref="B4:I21" sheet="Pauta final"/>
  </cacheSource>
  <cacheFields count="8">
    <cacheField name="Nº" numFmtId="0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NOME" numFmtId="0">
      <sharedItems count="17">
        <s v="Arthur Da Sílva"/>
        <s v="Lucas Campos"/>
        <s v="Mauro Guilherme"/>
        <s v="Matias Miguel"/>
        <s v="Wyllian José"/>
        <s v="Liliane Filipe"/>
        <s v="Joyce Guorgel"/>
        <s v="Wayela"/>
        <s v="Ruth Filipe"/>
        <s v="Marta Gonga"/>
        <s v="Hélio Batista"/>
        <s v="Jacinto Domingos"/>
        <s v="Dilsia"/>
        <s v="Deni"/>
        <s v="Julio"/>
        <s v="kelly"/>
        <s v="Makiess Marais" u="1"/>
      </sharedItems>
    </cacheField>
    <cacheField name="GENERO" numFmtId="0">
      <sharedItems/>
    </cacheField>
    <cacheField name="P1" numFmtId="0">
      <sharedItems containsSemiMixedTypes="0" containsString="0" containsNumber="1" containsInteger="1" minValue="4" maxValue="20"/>
    </cacheField>
    <cacheField name="P2" numFmtId="0">
      <sharedItems containsSemiMixedTypes="0" containsString="0" containsNumber="1" containsInteger="1" minValue="2" maxValue="20"/>
    </cacheField>
    <cacheField name="P3" numFmtId="0">
      <sharedItems containsSemiMixedTypes="0" containsString="0" containsNumber="1" containsInteger="1" minValue="1" maxValue="20"/>
    </cacheField>
    <cacheField name="MÉDIA" numFmtId="1">
      <sharedItems containsSemiMixedTypes="0" containsString="0" containsNumber="1" minValue="5.666666666666667" maxValue="13.333333333333334"/>
    </cacheField>
    <cacheField name="RESULTADO" numFmtId="0">
      <sharedItems containsBlank="1" count="3">
        <s v="REPROVADO"/>
        <s v="APROVADO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64.477481828704" createdVersion="6" refreshedVersion="8" minRefreshableVersion="3" recordCount="17" xr:uid="{C310454A-2191-4E8C-BF86-87C3C3A99485}">
  <cacheSource type="worksheet">
    <worksheetSource ref="B4:I21" sheet="Pauta final"/>
  </cacheSource>
  <cacheFields count="8">
    <cacheField name="Nº" numFmtId="0">
      <sharedItems containsSemiMixedTypes="0" containsString="0" containsNumber="1" containsInteger="1" minValue="1" maxValue="17" count="1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</sharedItems>
    </cacheField>
    <cacheField name="NOME" numFmtId="0">
      <sharedItems count="18">
        <s v="Arthur Da Sílva"/>
        <s v="Lucas Campos"/>
        <s v="Mauro Guilherme"/>
        <s v="Matias Miguel"/>
        <s v="Wyllian José"/>
        <s v="Liliane Filipe"/>
        <s v="Joyce Guorgel"/>
        <s v="Wayela"/>
        <s v="Ruth Filipe"/>
        <s v="Marta Gonga"/>
        <s v="Hélio Batista"/>
        <s v="Jacinto Domingos"/>
        <s v="Dilsia"/>
        <s v="Deni"/>
        <s v="Julio"/>
        <s v="kelly"/>
        <s v="Clarisse"/>
        <s v="Makiess Marais" u="1"/>
      </sharedItems>
    </cacheField>
    <cacheField name="GENERO" numFmtId="0">
      <sharedItems count="2">
        <s v="M"/>
        <s v="F"/>
      </sharedItems>
    </cacheField>
    <cacheField name="P1" numFmtId="0">
      <sharedItems containsSemiMixedTypes="0" containsString="0" containsNumber="1" containsInteger="1" minValue="4" maxValue="20"/>
    </cacheField>
    <cacheField name="P2" numFmtId="0">
      <sharedItems containsSemiMixedTypes="0" containsString="0" containsNumber="1" containsInteger="1" minValue="2" maxValue="20"/>
    </cacheField>
    <cacheField name="P3" numFmtId="0">
      <sharedItems containsSemiMixedTypes="0" containsString="0" containsNumber="1" containsInteger="1" minValue="1" maxValue="20"/>
    </cacheField>
    <cacheField name="MÉDIA" numFmtId="1">
      <sharedItems containsSemiMixedTypes="0" containsString="0" containsNumber="1" minValue="5.666666666666667" maxValue="14.333333333333334"/>
    </cacheField>
    <cacheField name="RESULTADO" numFmtId="0">
      <sharedItems containsBlank="1" count="3">
        <s v="REPROVADO"/>
        <s v="APROVADO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M"/>
    <n v="12"/>
    <n v="4"/>
    <n v="1"/>
    <n v="5.666666666666667"/>
    <x v="0"/>
  </r>
  <r>
    <x v="1"/>
    <x v="1"/>
    <s v="M"/>
    <n v="19"/>
    <n v="10"/>
    <n v="8"/>
    <n v="12.333333333333334"/>
    <x v="1"/>
  </r>
  <r>
    <x v="2"/>
    <x v="2"/>
    <s v="M"/>
    <n v="4"/>
    <n v="11"/>
    <n v="18"/>
    <n v="11"/>
    <x v="1"/>
  </r>
  <r>
    <x v="3"/>
    <x v="3"/>
    <s v="M"/>
    <n v="20"/>
    <n v="8"/>
    <n v="9"/>
    <n v="12.333333333333334"/>
    <x v="1"/>
  </r>
  <r>
    <x v="4"/>
    <x v="4"/>
    <s v="M"/>
    <n v="12"/>
    <n v="11"/>
    <n v="9"/>
    <n v="10.666666666666666"/>
    <x v="1"/>
  </r>
  <r>
    <x v="5"/>
    <x v="5"/>
    <s v="F"/>
    <n v="8"/>
    <n v="19"/>
    <n v="13"/>
    <n v="13.333333333333334"/>
    <x v="1"/>
  </r>
  <r>
    <x v="6"/>
    <x v="6"/>
    <s v="F"/>
    <n v="8"/>
    <n v="16"/>
    <n v="9"/>
    <n v="11"/>
    <x v="1"/>
  </r>
  <r>
    <x v="7"/>
    <x v="7"/>
    <s v="F"/>
    <n v="18"/>
    <n v="2"/>
    <n v="7"/>
    <n v="9"/>
    <x v="0"/>
  </r>
  <r>
    <x v="8"/>
    <x v="8"/>
    <s v="F"/>
    <n v="10"/>
    <n v="7"/>
    <n v="20"/>
    <n v="12.333333333333334"/>
    <x v="1"/>
  </r>
  <r>
    <x v="9"/>
    <x v="9"/>
    <s v="F"/>
    <n v="16"/>
    <n v="10"/>
    <n v="11"/>
    <n v="12.333333333333334"/>
    <x v="1"/>
  </r>
  <r>
    <x v="10"/>
    <x v="10"/>
    <s v="M"/>
    <n v="11"/>
    <n v="8"/>
    <n v="10"/>
    <n v="8"/>
    <x v="0"/>
  </r>
  <r>
    <x v="11"/>
    <x v="11"/>
    <s v="M"/>
    <n v="15"/>
    <n v="6"/>
    <n v="6"/>
    <n v="9"/>
    <x v="0"/>
  </r>
  <r>
    <x v="12"/>
    <x v="12"/>
    <s v="F"/>
    <n v="12"/>
    <n v="10"/>
    <n v="10"/>
    <n v="10.666666666666666"/>
    <x v="1"/>
  </r>
  <r>
    <x v="13"/>
    <x v="13"/>
    <s v="M"/>
    <n v="9"/>
    <n v="8"/>
    <n v="13"/>
    <n v="10"/>
    <x v="1"/>
  </r>
  <r>
    <x v="14"/>
    <x v="14"/>
    <s v="M"/>
    <n v="5"/>
    <n v="20"/>
    <n v="8"/>
    <n v="11"/>
    <x v="1"/>
  </r>
  <r>
    <x v="15"/>
    <x v="15"/>
    <s v="M"/>
    <n v="17"/>
    <n v="5"/>
    <n v="13"/>
    <n v="11.66666666666666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12"/>
    <n v="4"/>
    <n v="1"/>
    <n v="5.666666666666667"/>
    <x v="0"/>
  </r>
  <r>
    <x v="1"/>
    <x v="1"/>
    <x v="0"/>
    <n v="19"/>
    <n v="10"/>
    <n v="8"/>
    <n v="12.333333333333334"/>
    <x v="1"/>
  </r>
  <r>
    <x v="2"/>
    <x v="2"/>
    <x v="0"/>
    <n v="4"/>
    <n v="11"/>
    <n v="18"/>
    <n v="11"/>
    <x v="1"/>
  </r>
  <r>
    <x v="3"/>
    <x v="3"/>
    <x v="0"/>
    <n v="20"/>
    <n v="8"/>
    <n v="9"/>
    <n v="12.333333333333334"/>
    <x v="1"/>
  </r>
  <r>
    <x v="4"/>
    <x v="4"/>
    <x v="0"/>
    <n v="12"/>
    <n v="11"/>
    <n v="9"/>
    <n v="10.666666666666666"/>
    <x v="1"/>
  </r>
  <r>
    <x v="5"/>
    <x v="5"/>
    <x v="1"/>
    <n v="8"/>
    <n v="19"/>
    <n v="13"/>
    <n v="13.333333333333334"/>
    <x v="1"/>
  </r>
  <r>
    <x v="6"/>
    <x v="6"/>
    <x v="1"/>
    <n v="8"/>
    <n v="16"/>
    <n v="9"/>
    <n v="11"/>
    <x v="1"/>
  </r>
  <r>
    <x v="7"/>
    <x v="7"/>
    <x v="1"/>
    <n v="18"/>
    <n v="2"/>
    <n v="7"/>
    <n v="9"/>
    <x v="0"/>
  </r>
  <r>
    <x v="8"/>
    <x v="8"/>
    <x v="1"/>
    <n v="10"/>
    <n v="7"/>
    <n v="20"/>
    <n v="12.333333333333334"/>
    <x v="1"/>
  </r>
  <r>
    <x v="9"/>
    <x v="9"/>
    <x v="1"/>
    <n v="16"/>
    <n v="10"/>
    <n v="11"/>
    <n v="12.333333333333334"/>
    <x v="1"/>
  </r>
  <r>
    <x v="10"/>
    <x v="10"/>
    <x v="0"/>
    <n v="11"/>
    <n v="8"/>
    <n v="10"/>
    <n v="8"/>
    <x v="0"/>
  </r>
  <r>
    <x v="11"/>
    <x v="11"/>
    <x v="0"/>
    <n v="15"/>
    <n v="6"/>
    <n v="6"/>
    <n v="9"/>
    <x v="0"/>
  </r>
  <r>
    <x v="12"/>
    <x v="12"/>
    <x v="1"/>
    <n v="12"/>
    <n v="10"/>
    <n v="10"/>
    <n v="10.666666666666666"/>
    <x v="1"/>
  </r>
  <r>
    <x v="13"/>
    <x v="13"/>
    <x v="0"/>
    <n v="9"/>
    <n v="8"/>
    <n v="13"/>
    <n v="10"/>
    <x v="1"/>
  </r>
  <r>
    <x v="14"/>
    <x v="14"/>
    <x v="0"/>
    <n v="5"/>
    <n v="20"/>
    <n v="8"/>
    <n v="11"/>
    <x v="1"/>
  </r>
  <r>
    <x v="15"/>
    <x v="15"/>
    <x v="0"/>
    <n v="17"/>
    <n v="5"/>
    <n v="13"/>
    <n v="11.666666666666666"/>
    <x v="1"/>
  </r>
  <r>
    <x v="16"/>
    <x v="16"/>
    <x v="1"/>
    <n v="18"/>
    <n v="11"/>
    <n v="14"/>
    <n v="14.33333333333333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A1D58-7FB7-4FC7-B8B3-48663155A109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 rowHeaderCaption="NOME">
  <location ref="A3:D54" firstHeaderRow="1" firstDataRow="2" firstDataCol="1"/>
  <pivotFields count="8">
    <pivotField axis="axisRow" showAll="0">
      <items count="18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9">
        <item x="0"/>
        <item x="13"/>
        <item x="12"/>
        <item x="10"/>
        <item x="11"/>
        <item x="6"/>
        <item x="5"/>
        <item x="1"/>
        <item m="1" x="17"/>
        <item x="9"/>
        <item x="3"/>
        <item x="2"/>
        <item x="8"/>
        <item x="7"/>
        <item x="4"/>
        <item x="15"/>
        <item x="14"/>
        <item x="1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numFmtId="1" showAll="0"/>
    <pivotField axis="axisCol" showAll="0">
      <items count="4">
        <item x="1"/>
        <item x="0"/>
        <item h="1" m="1" x="2"/>
        <item t="default"/>
      </items>
    </pivotField>
  </pivotFields>
  <rowFields count="3">
    <field x="0"/>
    <field x="1"/>
    <field x="2"/>
  </rowFields>
  <rowItems count="50">
    <i>
      <x/>
    </i>
    <i>
      <x v="1"/>
    </i>
    <i r="1">
      <x v="7"/>
    </i>
    <i r="2">
      <x v="1"/>
    </i>
    <i>
      <x v="2"/>
    </i>
    <i r="1">
      <x v="11"/>
    </i>
    <i r="2">
      <x v="1"/>
    </i>
    <i>
      <x v="3"/>
    </i>
    <i r="1">
      <x v="10"/>
    </i>
    <i r="2">
      <x v="1"/>
    </i>
    <i>
      <x v="4"/>
    </i>
    <i r="1">
      <x v="14"/>
    </i>
    <i r="2">
      <x v="1"/>
    </i>
    <i>
      <x v="5"/>
    </i>
    <i r="1">
      <x v="6"/>
    </i>
    <i r="2">
      <x/>
    </i>
    <i>
      <x v="6"/>
    </i>
    <i r="1">
      <x v="5"/>
    </i>
    <i r="2">
      <x/>
    </i>
    <i>
      <x v="7"/>
    </i>
    <i r="1">
      <x v="13"/>
    </i>
    <i r="2">
      <x/>
    </i>
    <i>
      <x v="8"/>
    </i>
    <i r="1">
      <x v="12"/>
    </i>
    <i r="2">
      <x/>
    </i>
    <i>
      <x v="9"/>
    </i>
    <i r="1">
      <x v="9"/>
    </i>
    <i r="2">
      <x/>
    </i>
    <i>
      <x v="10"/>
    </i>
    <i r="1">
      <x v="3"/>
    </i>
    <i r="2">
      <x v="1"/>
    </i>
    <i>
      <x v="11"/>
    </i>
    <i r="1">
      <x v="4"/>
    </i>
    <i r="2">
      <x v="1"/>
    </i>
    <i>
      <x v="12"/>
    </i>
    <i r="1">
      <x v="2"/>
    </i>
    <i r="2">
      <x/>
    </i>
    <i>
      <x v="13"/>
    </i>
    <i r="1">
      <x v="1"/>
    </i>
    <i r="2">
      <x v="1"/>
    </i>
    <i>
      <x v="14"/>
    </i>
    <i r="1">
      <x v="16"/>
    </i>
    <i r="2">
      <x v="1"/>
    </i>
    <i>
      <x v="15"/>
    </i>
    <i r="1">
      <x v="15"/>
    </i>
    <i r="2">
      <x v="1"/>
    </i>
    <i>
      <x v="16"/>
    </i>
    <i r="1">
      <x v="17"/>
    </i>
    <i r="2">
      <x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PAUTA" fld="6" baseField="0" baseItem="0"/>
  </dataFields>
  <formats count="3">
    <format dxfId="23">
      <pivotArea dataOnly="0" outline="0" fieldPosition="0">
        <references count="1">
          <reference field="7" count="1">
            <x v="0"/>
          </reference>
        </references>
      </pivotArea>
    </format>
    <format dxfId="22">
      <pivotArea field="7" dataOnly="0" grandCol="1" outline="0" axis="axisCol" fieldPosition="0">
        <references count="1">
          <reference field="7" count="1">
            <x v="1"/>
          </reference>
        </references>
      </pivotArea>
    </format>
    <format dxfId="21">
      <pivotArea dataOnly="0" outline="0" fieldPosition="0">
        <references count="1">
          <reference field="7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67521-0D83-4F07-BAAD-232AF8EB2303}" name="Tabela dinâmica3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37" firstHeaderRow="1" firstDataRow="2" firstDataCol="1"/>
  <pivotFields count="8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18">
        <item x="0"/>
        <item x="13"/>
        <item x="12"/>
        <item x="10"/>
        <item x="11"/>
        <item x="6"/>
        <item x="5"/>
        <item x="1"/>
        <item m="1" x="16"/>
        <item x="9"/>
        <item x="3"/>
        <item x="2"/>
        <item x="8"/>
        <item x="7"/>
        <item x="4"/>
        <item x="15"/>
        <item x="14"/>
        <item t="default"/>
      </items>
    </pivotField>
    <pivotField showAll="0"/>
    <pivotField showAll="0"/>
    <pivotField showAll="0"/>
    <pivotField showAll="0"/>
    <pivotField dataField="1" numFmtId="1" showAll="0"/>
    <pivotField axis="axisCol" showAll="0">
      <items count="4">
        <item x="1"/>
        <item x="0"/>
        <item m="1" x="2"/>
        <item t="default"/>
      </items>
    </pivotField>
  </pivotFields>
  <rowFields count="2">
    <field x="0"/>
    <field x="1"/>
  </rowFields>
  <rowItems count="33">
    <i>
      <x/>
    </i>
    <i r="1">
      <x/>
    </i>
    <i>
      <x v="1"/>
    </i>
    <i r="1">
      <x v="7"/>
    </i>
    <i>
      <x v="2"/>
    </i>
    <i r="1">
      <x v="11"/>
    </i>
    <i>
      <x v="3"/>
    </i>
    <i r="1">
      <x v="10"/>
    </i>
    <i>
      <x v="4"/>
    </i>
    <i r="1">
      <x v="14"/>
    </i>
    <i>
      <x v="5"/>
    </i>
    <i r="1">
      <x v="6"/>
    </i>
    <i>
      <x v="6"/>
    </i>
    <i r="1">
      <x v="5"/>
    </i>
    <i>
      <x v="7"/>
    </i>
    <i r="1">
      <x v="13"/>
    </i>
    <i>
      <x v="8"/>
    </i>
    <i r="1">
      <x v="12"/>
    </i>
    <i>
      <x v="9"/>
    </i>
    <i r="1">
      <x v="9"/>
    </i>
    <i>
      <x v="10"/>
    </i>
    <i r="1">
      <x v="3"/>
    </i>
    <i>
      <x v="11"/>
    </i>
    <i r="1">
      <x v="4"/>
    </i>
    <i>
      <x v="12"/>
    </i>
    <i r="1">
      <x v="2"/>
    </i>
    <i>
      <x v="13"/>
    </i>
    <i r="1">
      <x v="1"/>
    </i>
    <i>
      <x v="14"/>
    </i>
    <i r="1">
      <x v="16"/>
    </i>
    <i>
      <x v="15"/>
    </i>
    <i r="1">
      <x v="15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oma de MÉDI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05D90-2DAC-4F8F-9853-912E9DABD4DE}" name="Tabela1" displayName="Tabela1" ref="B4:I21" totalsRowShown="0" headerRowDxfId="11" tableBorderDxfId="20">
  <autoFilter ref="B4:I21" xr:uid="{DB205D90-2DAC-4F8F-9853-912E9DABD4DE}"/>
  <tableColumns count="8">
    <tableColumn id="1" xr3:uid="{24D4E83A-B65A-4396-BE22-0BCB892A9BE3}" name="Nº" dataDxfId="19">
      <calculatedColumnFormula>B4+1</calculatedColumnFormula>
    </tableColumn>
    <tableColumn id="2" xr3:uid="{B05C5953-780F-4069-BB64-44CF5DB2A494}" name="NOME" dataDxfId="18"/>
    <tableColumn id="3" xr3:uid="{7B512F8E-C5A9-4CB1-86D4-388D431D793D}" name="GENERO" dataDxfId="17"/>
    <tableColumn id="4" xr3:uid="{D8F88C15-739F-4D1B-811E-0D6F5306BFFD}" name="P1" dataDxfId="16"/>
    <tableColumn id="5" xr3:uid="{999D769C-9148-49ED-8B5D-3C5CCB49E894}" name="P2" dataDxfId="15"/>
    <tableColumn id="6" xr3:uid="{C8F94379-497C-4A13-A10B-DEAFDBBBC8CC}" name="P3" dataDxfId="14"/>
    <tableColumn id="7" xr3:uid="{85D9DAAC-C17F-4B48-B0CE-C487F8A60FFF}" name="MÉDIA" dataDxfId="13">
      <calculatedColumnFormula>(E5+F5+G5)/3</calculatedColumnFormula>
    </tableColumn>
    <tableColumn id="8" xr3:uid="{86FF50C4-6BBD-4C99-BE3A-C05AB9229E58}" name="RESULTADO" dataDxfId="12">
      <calculatedColumnFormula>IF(H5&gt;9,"APROVADO","REPROVADO")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2583-347F-4533-8047-49FDC7C7B46A}">
  <dimension ref="A1:D54"/>
  <sheetViews>
    <sheetView showGridLines="0" showRowColHeaders="0" tabSelected="1" topLeftCell="A33" zoomScale="145" zoomScaleNormal="145" workbookViewId="0">
      <selection activeCell="B43" sqref="B43"/>
    </sheetView>
  </sheetViews>
  <sheetFormatPr defaultRowHeight="15" x14ac:dyDescent="0.25"/>
  <cols>
    <col min="1" max="1" width="21" bestFit="1" customWidth="1"/>
    <col min="2" max="2" width="19.5703125" bestFit="1" customWidth="1"/>
    <col min="3" max="3" width="12.140625" bestFit="1" customWidth="1"/>
    <col min="4" max="4" width="10.7109375" bestFit="1" customWidth="1"/>
    <col min="5" max="5" width="14.5703125" bestFit="1" customWidth="1"/>
    <col min="6" max="6" width="3.140625" bestFit="1" customWidth="1"/>
    <col min="7" max="7" width="17.28515625" bestFit="1" customWidth="1"/>
    <col min="8" max="8" width="10.7109375" bestFit="1" customWidth="1"/>
    <col min="9" max="16" width="17" bestFit="1" customWidth="1"/>
    <col min="17" max="17" width="7.7109375" bestFit="1" customWidth="1"/>
    <col min="18" max="18" width="10.7109375" bestFit="1" customWidth="1"/>
  </cols>
  <sheetData>
    <row r="1" spans="1:4" s="5" customFormat="1" ht="28.5" x14ac:dyDescent="0.45">
      <c r="B1" s="5" t="s">
        <v>0</v>
      </c>
    </row>
    <row r="3" spans="1:4" x14ac:dyDescent="0.25">
      <c r="A3" s="7" t="s">
        <v>33</v>
      </c>
      <c r="B3" s="7" t="s">
        <v>26</v>
      </c>
    </row>
    <row r="4" spans="1:4" x14ac:dyDescent="0.25">
      <c r="A4" s="7" t="s">
        <v>2</v>
      </c>
      <c r="B4" s="10" t="s">
        <v>28</v>
      </c>
      <c r="C4" s="10" t="s">
        <v>29</v>
      </c>
      <c r="D4" s="10" t="s">
        <v>30</v>
      </c>
    </row>
    <row r="5" spans="1:4" x14ac:dyDescent="0.25">
      <c r="A5" s="8">
        <v>1</v>
      </c>
      <c r="B5" s="10"/>
      <c r="C5" s="10">
        <v>5.666666666666667</v>
      </c>
      <c r="D5" s="10">
        <v>5.666666666666667</v>
      </c>
    </row>
    <row r="6" spans="1:4" x14ac:dyDescent="0.25">
      <c r="A6" s="8">
        <v>2</v>
      </c>
      <c r="B6" s="10">
        <v>12.333333333333334</v>
      </c>
      <c r="C6" s="10"/>
      <c r="D6" s="10">
        <v>12.333333333333334</v>
      </c>
    </row>
    <row r="7" spans="1:4" x14ac:dyDescent="0.25">
      <c r="A7" s="11" t="s">
        <v>8</v>
      </c>
      <c r="B7" s="10">
        <v>12.333333333333334</v>
      </c>
      <c r="C7" s="10"/>
      <c r="D7" s="10">
        <v>12.333333333333334</v>
      </c>
    </row>
    <row r="8" spans="1:4" x14ac:dyDescent="0.25">
      <c r="A8" s="15" t="s">
        <v>23</v>
      </c>
      <c r="B8" s="10">
        <v>12.333333333333334</v>
      </c>
      <c r="C8" s="10"/>
      <c r="D8" s="10">
        <v>12.333333333333334</v>
      </c>
    </row>
    <row r="9" spans="1:4" x14ac:dyDescent="0.25">
      <c r="A9" s="8">
        <v>3</v>
      </c>
      <c r="B9" s="10">
        <v>11</v>
      </c>
      <c r="C9" s="10"/>
      <c r="D9" s="10">
        <v>11</v>
      </c>
    </row>
    <row r="10" spans="1:4" x14ac:dyDescent="0.25">
      <c r="A10" s="11" t="s">
        <v>9</v>
      </c>
      <c r="B10" s="10">
        <v>11</v>
      </c>
      <c r="C10" s="10"/>
      <c r="D10" s="10">
        <v>11</v>
      </c>
    </row>
    <row r="11" spans="1:4" x14ac:dyDescent="0.25">
      <c r="A11" s="15" t="s">
        <v>23</v>
      </c>
      <c r="B11" s="10">
        <v>11</v>
      </c>
      <c r="C11" s="10"/>
      <c r="D11" s="10">
        <v>11</v>
      </c>
    </row>
    <row r="12" spans="1:4" x14ac:dyDescent="0.25">
      <c r="A12" s="8">
        <v>4</v>
      </c>
      <c r="B12" s="10">
        <v>12.333333333333334</v>
      </c>
      <c r="C12" s="10"/>
      <c r="D12" s="10">
        <v>12.333333333333334</v>
      </c>
    </row>
    <row r="13" spans="1:4" x14ac:dyDescent="0.25">
      <c r="A13" s="11" t="s">
        <v>10</v>
      </c>
      <c r="B13" s="10">
        <v>12.333333333333334</v>
      </c>
      <c r="C13" s="10"/>
      <c r="D13" s="10">
        <v>12.333333333333334</v>
      </c>
    </row>
    <row r="14" spans="1:4" x14ac:dyDescent="0.25">
      <c r="A14" s="15" t="s">
        <v>23</v>
      </c>
      <c r="B14" s="10">
        <v>12.333333333333334</v>
      </c>
      <c r="C14" s="10"/>
      <c r="D14" s="10">
        <v>12.333333333333334</v>
      </c>
    </row>
    <row r="15" spans="1:4" x14ac:dyDescent="0.25">
      <c r="A15" s="8">
        <v>5</v>
      </c>
      <c r="B15" s="10">
        <v>10.666666666666666</v>
      </c>
      <c r="C15" s="10"/>
      <c r="D15" s="10">
        <v>10.666666666666666</v>
      </c>
    </row>
    <row r="16" spans="1:4" x14ac:dyDescent="0.25">
      <c r="A16" s="11" t="s">
        <v>11</v>
      </c>
      <c r="B16" s="10">
        <v>10.666666666666666</v>
      </c>
      <c r="C16" s="10"/>
      <c r="D16" s="10">
        <v>10.666666666666666</v>
      </c>
    </row>
    <row r="17" spans="1:4" x14ac:dyDescent="0.25">
      <c r="A17" s="15" t="s">
        <v>23</v>
      </c>
      <c r="B17" s="10">
        <v>10.666666666666666</v>
      </c>
      <c r="C17" s="10"/>
      <c r="D17" s="10">
        <v>10.666666666666666</v>
      </c>
    </row>
    <row r="18" spans="1:4" x14ac:dyDescent="0.25">
      <c r="A18" s="8">
        <v>6</v>
      </c>
      <c r="B18" s="10">
        <v>13.333333333333334</v>
      </c>
      <c r="C18" s="10"/>
      <c r="D18" s="10">
        <v>13.333333333333334</v>
      </c>
    </row>
    <row r="19" spans="1:4" x14ac:dyDescent="0.25">
      <c r="A19" s="11" t="s">
        <v>12</v>
      </c>
      <c r="B19" s="10">
        <v>13.333333333333334</v>
      </c>
      <c r="C19" s="10"/>
      <c r="D19" s="10">
        <v>13.333333333333334</v>
      </c>
    </row>
    <row r="20" spans="1:4" x14ac:dyDescent="0.25">
      <c r="A20" s="15" t="s">
        <v>24</v>
      </c>
      <c r="B20" s="10">
        <v>13.333333333333334</v>
      </c>
      <c r="C20" s="10"/>
      <c r="D20" s="10">
        <v>13.333333333333334</v>
      </c>
    </row>
    <row r="21" spans="1:4" x14ac:dyDescent="0.25">
      <c r="A21" s="8">
        <v>7</v>
      </c>
      <c r="B21" s="10">
        <v>11</v>
      </c>
      <c r="C21" s="10"/>
      <c r="D21" s="10">
        <v>11</v>
      </c>
    </row>
    <row r="22" spans="1:4" x14ac:dyDescent="0.25">
      <c r="A22" s="11" t="s">
        <v>13</v>
      </c>
      <c r="B22" s="10">
        <v>11</v>
      </c>
      <c r="C22" s="10"/>
      <c r="D22" s="10">
        <v>11</v>
      </c>
    </row>
    <row r="23" spans="1:4" x14ac:dyDescent="0.25">
      <c r="A23" s="15" t="s">
        <v>24</v>
      </c>
      <c r="B23" s="10">
        <v>11</v>
      </c>
      <c r="C23" s="10"/>
      <c r="D23" s="10">
        <v>11</v>
      </c>
    </row>
    <row r="24" spans="1:4" x14ac:dyDescent="0.25">
      <c r="A24" s="8">
        <v>8</v>
      </c>
      <c r="B24" s="10"/>
      <c r="C24" s="10">
        <v>9</v>
      </c>
      <c r="D24" s="10">
        <v>9</v>
      </c>
    </row>
    <row r="25" spans="1:4" x14ac:dyDescent="0.25">
      <c r="A25" s="11" t="s">
        <v>14</v>
      </c>
      <c r="B25" s="10"/>
      <c r="C25" s="10">
        <v>9</v>
      </c>
      <c r="D25" s="10">
        <v>9</v>
      </c>
    </row>
    <row r="26" spans="1:4" x14ac:dyDescent="0.25">
      <c r="A26" s="15" t="s">
        <v>24</v>
      </c>
      <c r="B26" s="10"/>
      <c r="C26" s="10">
        <v>9</v>
      </c>
      <c r="D26" s="10">
        <v>9</v>
      </c>
    </row>
    <row r="27" spans="1:4" x14ac:dyDescent="0.25">
      <c r="A27" s="8">
        <v>9</v>
      </c>
      <c r="B27" s="10">
        <v>12.333333333333334</v>
      </c>
      <c r="C27" s="10"/>
      <c r="D27" s="10">
        <v>12.333333333333334</v>
      </c>
    </row>
    <row r="28" spans="1:4" x14ac:dyDescent="0.25">
      <c r="A28" s="11" t="s">
        <v>15</v>
      </c>
      <c r="B28" s="10">
        <v>12.333333333333334</v>
      </c>
      <c r="C28" s="10"/>
      <c r="D28" s="10">
        <v>12.333333333333334</v>
      </c>
    </row>
    <row r="29" spans="1:4" x14ac:dyDescent="0.25">
      <c r="A29" s="15" t="s">
        <v>24</v>
      </c>
      <c r="B29" s="10">
        <v>12.333333333333334</v>
      </c>
      <c r="C29" s="10"/>
      <c r="D29" s="10">
        <v>12.333333333333334</v>
      </c>
    </row>
    <row r="30" spans="1:4" x14ac:dyDescent="0.25">
      <c r="A30" s="8">
        <v>10</v>
      </c>
      <c r="B30" s="10">
        <v>12.333333333333334</v>
      </c>
      <c r="C30" s="10"/>
      <c r="D30" s="10">
        <v>12.333333333333334</v>
      </c>
    </row>
    <row r="31" spans="1:4" x14ac:dyDescent="0.25">
      <c r="A31" s="11" t="s">
        <v>16</v>
      </c>
      <c r="B31" s="10">
        <v>12.333333333333334</v>
      </c>
      <c r="C31" s="10"/>
      <c r="D31" s="10">
        <v>12.333333333333334</v>
      </c>
    </row>
    <row r="32" spans="1:4" x14ac:dyDescent="0.25">
      <c r="A32" s="15" t="s">
        <v>24</v>
      </c>
      <c r="B32" s="10">
        <v>12.333333333333334</v>
      </c>
      <c r="C32" s="10"/>
      <c r="D32" s="10">
        <v>12.333333333333334</v>
      </c>
    </row>
    <row r="33" spans="1:4" x14ac:dyDescent="0.25">
      <c r="A33" s="8">
        <v>11</v>
      </c>
      <c r="B33" s="10"/>
      <c r="C33" s="10">
        <v>8</v>
      </c>
      <c r="D33" s="10">
        <v>8</v>
      </c>
    </row>
    <row r="34" spans="1:4" x14ac:dyDescent="0.25">
      <c r="A34" s="11" t="s">
        <v>17</v>
      </c>
      <c r="B34" s="10"/>
      <c r="C34" s="10">
        <v>8</v>
      </c>
      <c r="D34" s="10">
        <v>8</v>
      </c>
    </row>
    <row r="35" spans="1:4" x14ac:dyDescent="0.25">
      <c r="A35" s="15" t="s">
        <v>23</v>
      </c>
      <c r="B35" s="10"/>
      <c r="C35" s="10">
        <v>8</v>
      </c>
      <c r="D35" s="10">
        <v>8</v>
      </c>
    </row>
    <row r="36" spans="1:4" x14ac:dyDescent="0.25">
      <c r="A36" s="8">
        <v>12</v>
      </c>
      <c r="B36" s="10"/>
      <c r="C36" s="10">
        <v>9</v>
      </c>
      <c r="D36" s="10">
        <v>9</v>
      </c>
    </row>
    <row r="37" spans="1:4" x14ac:dyDescent="0.25">
      <c r="A37" s="11" t="s">
        <v>18</v>
      </c>
      <c r="B37" s="10"/>
      <c r="C37" s="10">
        <v>9</v>
      </c>
      <c r="D37" s="10">
        <v>9</v>
      </c>
    </row>
    <row r="38" spans="1:4" x14ac:dyDescent="0.25">
      <c r="A38" s="15" t="s">
        <v>23</v>
      </c>
      <c r="B38" s="10"/>
      <c r="C38" s="10">
        <v>9</v>
      </c>
      <c r="D38" s="10">
        <v>9</v>
      </c>
    </row>
    <row r="39" spans="1:4" x14ac:dyDescent="0.25">
      <c r="A39" s="8">
        <v>13</v>
      </c>
      <c r="B39" s="10">
        <v>10.666666666666666</v>
      </c>
      <c r="C39" s="10"/>
      <c r="D39" s="10">
        <v>10.666666666666666</v>
      </c>
    </row>
    <row r="40" spans="1:4" x14ac:dyDescent="0.25">
      <c r="A40" s="11" t="s">
        <v>19</v>
      </c>
      <c r="B40" s="10">
        <v>10.666666666666666</v>
      </c>
      <c r="C40" s="10"/>
      <c r="D40" s="10">
        <v>10.666666666666666</v>
      </c>
    </row>
    <row r="41" spans="1:4" x14ac:dyDescent="0.25">
      <c r="A41" s="15" t="s">
        <v>24</v>
      </c>
      <c r="B41" s="10">
        <v>10.666666666666666</v>
      </c>
      <c r="C41" s="10"/>
      <c r="D41" s="10">
        <v>10.666666666666666</v>
      </c>
    </row>
    <row r="42" spans="1:4" x14ac:dyDescent="0.25">
      <c r="A42" s="8">
        <v>14</v>
      </c>
      <c r="B42" s="10">
        <v>10</v>
      </c>
      <c r="C42" s="10"/>
      <c r="D42" s="10">
        <v>10</v>
      </c>
    </row>
    <row r="43" spans="1:4" x14ac:dyDescent="0.25">
      <c r="A43" s="11" t="s">
        <v>20</v>
      </c>
      <c r="B43" s="10">
        <v>10</v>
      </c>
      <c r="C43" s="10"/>
      <c r="D43" s="10">
        <v>10</v>
      </c>
    </row>
    <row r="44" spans="1:4" x14ac:dyDescent="0.25">
      <c r="A44" s="15" t="s">
        <v>23</v>
      </c>
      <c r="B44" s="10">
        <v>10</v>
      </c>
      <c r="C44" s="10"/>
      <c r="D44" s="10">
        <v>10</v>
      </c>
    </row>
    <row r="45" spans="1:4" x14ac:dyDescent="0.25">
      <c r="A45" s="8">
        <v>15</v>
      </c>
      <c r="B45" s="10">
        <v>11</v>
      </c>
      <c r="C45" s="10"/>
      <c r="D45" s="10">
        <v>11</v>
      </c>
    </row>
    <row r="46" spans="1:4" x14ac:dyDescent="0.25">
      <c r="A46" s="11" t="s">
        <v>32</v>
      </c>
      <c r="B46" s="10">
        <v>11</v>
      </c>
      <c r="C46" s="10"/>
      <c r="D46" s="10">
        <v>11</v>
      </c>
    </row>
    <row r="47" spans="1:4" x14ac:dyDescent="0.25">
      <c r="A47" s="15" t="s">
        <v>23</v>
      </c>
      <c r="B47" s="10">
        <v>11</v>
      </c>
      <c r="C47" s="10"/>
      <c r="D47" s="10">
        <v>11</v>
      </c>
    </row>
    <row r="48" spans="1:4" x14ac:dyDescent="0.25">
      <c r="A48" s="8">
        <v>16</v>
      </c>
      <c r="B48" s="10">
        <v>11.666666666666666</v>
      </c>
      <c r="C48" s="10"/>
      <c r="D48" s="10">
        <v>11.666666666666666</v>
      </c>
    </row>
    <row r="49" spans="1:4" x14ac:dyDescent="0.25">
      <c r="A49" s="11" t="s">
        <v>31</v>
      </c>
      <c r="B49" s="10">
        <v>11.666666666666666</v>
      </c>
      <c r="C49" s="10"/>
      <c r="D49" s="10">
        <v>11.666666666666666</v>
      </c>
    </row>
    <row r="50" spans="1:4" x14ac:dyDescent="0.25">
      <c r="A50" s="15" t="s">
        <v>23</v>
      </c>
      <c r="B50" s="10">
        <v>11.666666666666666</v>
      </c>
      <c r="C50" s="10"/>
      <c r="D50" s="10">
        <v>11.666666666666666</v>
      </c>
    </row>
    <row r="51" spans="1:4" x14ac:dyDescent="0.25">
      <c r="A51" s="8">
        <v>17</v>
      </c>
      <c r="B51" s="10">
        <v>14.333333333333334</v>
      </c>
      <c r="C51" s="10"/>
      <c r="D51" s="10">
        <v>14.333333333333334</v>
      </c>
    </row>
    <row r="52" spans="1:4" x14ac:dyDescent="0.25">
      <c r="A52" s="11" t="s">
        <v>34</v>
      </c>
      <c r="B52" s="10">
        <v>14.333333333333334</v>
      </c>
      <c r="C52" s="10"/>
      <c r="D52" s="10">
        <v>14.333333333333334</v>
      </c>
    </row>
    <row r="53" spans="1:4" x14ac:dyDescent="0.25">
      <c r="A53" s="15" t="s">
        <v>24</v>
      </c>
      <c r="B53" s="10">
        <v>14.333333333333334</v>
      </c>
      <c r="C53" s="10"/>
      <c r="D53" s="10">
        <v>14.333333333333334</v>
      </c>
    </row>
    <row r="54" spans="1:4" x14ac:dyDescent="0.25">
      <c r="A54" s="8" t="s">
        <v>30</v>
      </c>
      <c r="B54" s="10">
        <v>153</v>
      </c>
      <c r="C54" s="10">
        <v>31.666666666666668</v>
      </c>
      <c r="D54" s="10">
        <v>184.66666666666666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789E-71FE-4C4D-8EAD-974ED7D69C65}">
  <dimension ref="A3:D37"/>
  <sheetViews>
    <sheetView zoomScale="130" zoomScaleNormal="130" workbookViewId="0">
      <selection activeCell="A5" sqref="A5"/>
    </sheetView>
  </sheetViews>
  <sheetFormatPr defaultRowHeight="15" x14ac:dyDescent="0.25"/>
  <cols>
    <col min="1" max="1" width="22.5703125" bestFit="1" customWidth="1"/>
    <col min="2" max="2" width="19.5703125" bestFit="1" customWidth="1"/>
    <col min="3" max="5" width="12.28515625" bestFit="1" customWidth="1"/>
  </cols>
  <sheetData>
    <row r="3" spans="1:4" x14ac:dyDescent="0.25">
      <c r="A3" s="7" t="s">
        <v>25</v>
      </c>
      <c r="B3" s="7" t="s">
        <v>26</v>
      </c>
    </row>
    <row r="4" spans="1:4" x14ac:dyDescent="0.25">
      <c r="A4" s="7" t="s">
        <v>27</v>
      </c>
      <c r="B4" t="s">
        <v>28</v>
      </c>
      <c r="C4" t="s">
        <v>29</v>
      </c>
      <c r="D4" t="s">
        <v>30</v>
      </c>
    </row>
    <row r="5" spans="1:4" x14ac:dyDescent="0.25">
      <c r="A5" s="8">
        <v>1</v>
      </c>
      <c r="B5" s="9"/>
      <c r="C5" s="9">
        <v>5.666666666666667</v>
      </c>
      <c r="D5" s="9">
        <v>5.666666666666667</v>
      </c>
    </row>
    <row r="6" spans="1:4" x14ac:dyDescent="0.25">
      <c r="A6" s="11" t="s">
        <v>7</v>
      </c>
      <c r="B6" s="9"/>
      <c r="C6" s="9">
        <v>5.666666666666667</v>
      </c>
      <c r="D6" s="9">
        <v>5.666666666666667</v>
      </c>
    </row>
    <row r="7" spans="1:4" x14ac:dyDescent="0.25">
      <c r="A7" s="8">
        <v>2</v>
      </c>
      <c r="B7" s="9">
        <v>12.333333333333334</v>
      </c>
      <c r="C7" s="9"/>
      <c r="D7" s="9">
        <v>12.333333333333334</v>
      </c>
    </row>
    <row r="8" spans="1:4" x14ac:dyDescent="0.25">
      <c r="A8" s="11" t="s">
        <v>8</v>
      </c>
      <c r="B8" s="9">
        <v>12.333333333333334</v>
      </c>
      <c r="C8" s="9"/>
      <c r="D8" s="9">
        <v>12.333333333333334</v>
      </c>
    </row>
    <row r="9" spans="1:4" x14ac:dyDescent="0.25">
      <c r="A9" s="8">
        <v>3</v>
      </c>
      <c r="B9" s="9">
        <v>11</v>
      </c>
      <c r="C9" s="9"/>
      <c r="D9" s="9">
        <v>11</v>
      </c>
    </row>
    <row r="10" spans="1:4" x14ac:dyDescent="0.25">
      <c r="A10" s="11" t="s">
        <v>9</v>
      </c>
      <c r="B10" s="9">
        <v>11</v>
      </c>
      <c r="C10" s="9"/>
      <c r="D10" s="9">
        <v>11</v>
      </c>
    </row>
    <row r="11" spans="1:4" x14ac:dyDescent="0.25">
      <c r="A11" s="8">
        <v>4</v>
      </c>
      <c r="B11" s="9">
        <v>12.333333333333334</v>
      </c>
      <c r="C11" s="9"/>
      <c r="D11" s="9">
        <v>12.333333333333334</v>
      </c>
    </row>
    <row r="12" spans="1:4" x14ac:dyDescent="0.25">
      <c r="A12" s="11" t="s">
        <v>10</v>
      </c>
      <c r="B12" s="9">
        <v>12.333333333333334</v>
      </c>
      <c r="C12" s="9"/>
      <c r="D12" s="9">
        <v>12.333333333333334</v>
      </c>
    </row>
    <row r="13" spans="1:4" x14ac:dyDescent="0.25">
      <c r="A13" s="8">
        <v>5</v>
      </c>
      <c r="B13" s="9">
        <v>10.666666666666666</v>
      </c>
      <c r="C13" s="9"/>
      <c r="D13" s="9">
        <v>10.666666666666666</v>
      </c>
    </row>
    <row r="14" spans="1:4" x14ac:dyDescent="0.25">
      <c r="A14" s="11" t="s">
        <v>11</v>
      </c>
      <c r="B14" s="9">
        <v>10.666666666666666</v>
      </c>
      <c r="C14" s="9"/>
      <c r="D14" s="9">
        <v>10.666666666666666</v>
      </c>
    </row>
    <row r="15" spans="1:4" x14ac:dyDescent="0.25">
      <c r="A15" s="8">
        <v>6</v>
      </c>
      <c r="B15" s="9">
        <v>13.333333333333334</v>
      </c>
      <c r="C15" s="9"/>
      <c r="D15" s="9">
        <v>13.333333333333334</v>
      </c>
    </row>
    <row r="16" spans="1:4" x14ac:dyDescent="0.25">
      <c r="A16" s="11" t="s">
        <v>12</v>
      </c>
      <c r="B16" s="9">
        <v>13.333333333333334</v>
      </c>
      <c r="C16" s="9"/>
      <c r="D16" s="9">
        <v>13.333333333333334</v>
      </c>
    </row>
    <row r="17" spans="1:4" x14ac:dyDescent="0.25">
      <c r="A17" s="8">
        <v>7</v>
      </c>
      <c r="B17" s="9">
        <v>11</v>
      </c>
      <c r="C17" s="9"/>
      <c r="D17" s="9">
        <v>11</v>
      </c>
    </row>
    <row r="18" spans="1:4" x14ac:dyDescent="0.25">
      <c r="A18" s="11" t="s">
        <v>13</v>
      </c>
      <c r="B18" s="9">
        <v>11</v>
      </c>
      <c r="C18" s="9"/>
      <c r="D18" s="9">
        <v>11</v>
      </c>
    </row>
    <row r="19" spans="1:4" x14ac:dyDescent="0.25">
      <c r="A19" s="8">
        <v>8</v>
      </c>
      <c r="B19" s="9"/>
      <c r="C19" s="9">
        <v>9</v>
      </c>
      <c r="D19" s="9">
        <v>9</v>
      </c>
    </row>
    <row r="20" spans="1:4" x14ac:dyDescent="0.25">
      <c r="A20" s="11" t="s">
        <v>14</v>
      </c>
      <c r="B20" s="9"/>
      <c r="C20" s="9">
        <v>9</v>
      </c>
      <c r="D20" s="9">
        <v>9</v>
      </c>
    </row>
    <row r="21" spans="1:4" x14ac:dyDescent="0.25">
      <c r="A21" s="8">
        <v>9</v>
      </c>
      <c r="B21" s="9">
        <v>12.333333333333334</v>
      </c>
      <c r="C21" s="9"/>
      <c r="D21" s="9">
        <v>12.333333333333334</v>
      </c>
    </row>
    <row r="22" spans="1:4" x14ac:dyDescent="0.25">
      <c r="A22" s="11" t="s">
        <v>15</v>
      </c>
      <c r="B22" s="9">
        <v>12.333333333333334</v>
      </c>
      <c r="C22" s="9"/>
      <c r="D22" s="9">
        <v>12.333333333333334</v>
      </c>
    </row>
    <row r="23" spans="1:4" x14ac:dyDescent="0.25">
      <c r="A23" s="8">
        <v>10</v>
      </c>
      <c r="B23" s="9">
        <v>12.333333333333334</v>
      </c>
      <c r="C23" s="9"/>
      <c r="D23" s="9">
        <v>12.333333333333334</v>
      </c>
    </row>
    <row r="24" spans="1:4" x14ac:dyDescent="0.25">
      <c r="A24" s="11" t="s">
        <v>16</v>
      </c>
      <c r="B24" s="9">
        <v>12.333333333333334</v>
      </c>
      <c r="C24" s="9"/>
      <c r="D24" s="9">
        <v>12.333333333333334</v>
      </c>
    </row>
    <row r="25" spans="1:4" x14ac:dyDescent="0.25">
      <c r="A25" s="8">
        <v>11</v>
      </c>
      <c r="B25" s="9"/>
      <c r="C25" s="9">
        <v>8</v>
      </c>
      <c r="D25" s="9">
        <v>8</v>
      </c>
    </row>
    <row r="26" spans="1:4" x14ac:dyDescent="0.25">
      <c r="A26" s="11" t="s">
        <v>17</v>
      </c>
      <c r="B26" s="9"/>
      <c r="C26" s="9">
        <v>8</v>
      </c>
      <c r="D26" s="9">
        <v>8</v>
      </c>
    </row>
    <row r="27" spans="1:4" x14ac:dyDescent="0.25">
      <c r="A27" s="8">
        <v>12</v>
      </c>
      <c r="B27" s="9"/>
      <c r="C27" s="9">
        <v>9</v>
      </c>
      <c r="D27" s="9">
        <v>9</v>
      </c>
    </row>
    <row r="28" spans="1:4" x14ac:dyDescent="0.25">
      <c r="A28" s="11" t="s">
        <v>18</v>
      </c>
      <c r="B28" s="9"/>
      <c r="C28" s="9">
        <v>9</v>
      </c>
      <c r="D28" s="9">
        <v>9</v>
      </c>
    </row>
    <row r="29" spans="1:4" x14ac:dyDescent="0.25">
      <c r="A29" s="8">
        <v>13</v>
      </c>
      <c r="B29" s="9">
        <v>10.666666666666666</v>
      </c>
      <c r="C29" s="9"/>
      <c r="D29" s="9">
        <v>10.666666666666666</v>
      </c>
    </row>
    <row r="30" spans="1:4" x14ac:dyDescent="0.25">
      <c r="A30" s="11" t="s">
        <v>19</v>
      </c>
      <c r="B30" s="9">
        <v>10.666666666666666</v>
      </c>
      <c r="C30" s="9"/>
      <c r="D30" s="9">
        <v>10.666666666666666</v>
      </c>
    </row>
    <row r="31" spans="1:4" x14ac:dyDescent="0.25">
      <c r="A31" s="8">
        <v>14</v>
      </c>
      <c r="B31" s="9">
        <v>10</v>
      </c>
      <c r="C31" s="9"/>
      <c r="D31" s="9">
        <v>10</v>
      </c>
    </row>
    <row r="32" spans="1:4" x14ac:dyDescent="0.25">
      <c r="A32" s="11" t="s">
        <v>20</v>
      </c>
      <c r="B32" s="9">
        <v>10</v>
      </c>
      <c r="C32" s="9"/>
      <c r="D32" s="9">
        <v>10</v>
      </c>
    </row>
    <row r="33" spans="1:4" x14ac:dyDescent="0.25">
      <c r="A33" s="8">
        <v>15</v>
      </c>
      <c r="B33" s="9">
        <v>11</v>
      </c>
      <c r="C33" s="9"/>
      <c r="D33" s="9">
        <v>11</v>
      </c>
    </row>
    <row r="34" spans="1:4" x14ac:dyDescent="0.25">
      <c r="A34" s="11" t="s">
        <v>32</v>
      </c>
      <c r="B34" s="9">
        <v>11</v>
      </c>
      <c r="C34" s="9"/>
      <c r="D34" s="9">
        <v>11</v>
      </c>
    </row>
    <row r="35" spans="1:4" x14ac:dyDescent="0.25">
      <c r="A35" s="8">
        <v>16</v>
      </c>
      <c r="B35" s="9">
        <v>11.666666666666666</v>
      </c>
      <c r="C35" s="9"/>
      <c r="D35" s="9">
        <v>11.666666666666666</v>
      </c>
    </row>
    <row r="36" spans="1:4" x14ac:dyDescent="0.25">
      <c r="A36" s="11" t="s">
        <v>31</v>
      </c>
      <c r="B36" s="9">
        <v>11.666666666666666</v>
      </c>
      <c r="C36" s="9"/>
      <c r="D36" s="9">
        <v>11.666666666666666</v>
      </c>
    </row>
    <row r="37" spans="1:4" x14ac:dyDescent="0.25">
      <c r="A37" s="8" t="s">
        <v>30</v>
      </c>
      <c r="B37" s="9">
        <v>138.66666666666666</v>
      </c>
      <c r="C37" s="9">
        <v>31.666666666666668</v>
      </c>
      <c r="D37" s="9">
        <v>170.33333333333331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8744-9E63-4FFB-9E46-62CB79EBFB1E}">
  <dimension ref="B1:I21"/>
  <sheetViews>
    <sheetView topLeftCell="A13" zoomScale="175" zoomScaleNormal="175" workbookViewId="0">
      <selection activeCell="H21" sqref="H21"/>
    </sheetView>
  </sheetViews>
  <sheetFormatPr defaultRowHeight="15" x14ac:dyDescent="0.25"/>
  <cols>
    <col min="3" max="3" width="16.7109375" bestFit="1" customWidth="1"/>
    <col min="4" max="4" width="9.85546875" customWidth="1"/>
    <col min="9" max="9" width="13.28515625" customWidth="1"/>
  </cols>
  <sheetData>
    <row r="1" spans="2:9" s="3" customFormat="1" ht="28.5" x14ac:dyDescent="0.45">
      <c r="B1" s="5" t="s">
        <v>0</v>
      </c>
    </row>
    <row r="2" spans="2:9" s="4" customFormat="1" ht="6" customHeight="1" x14ac:dyDescent="0.3"/>
    <row r="4" spans="2:9" ht="15.75" x14ac:dyDescent="0.25">
      <c r="B4" s="2" t="s">
        <v>1</v>
      </c>
      <c r="C4" s="2" t="s">
        <v>2</v>
      </c>
      <c r="D4" s="2" t="s">
        <v>22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21</v>
      </c>
    </row>
    <row r="5" spans="2:9" x14ac:dyDescent="0.25">
      <c r="B5" s="1">
        <v>1</v>
      </c>
      <c r="C5" s="1" t="s">
        <v>7</v>
      </c>
      <c r="D5" s="1" t="s">
        <v>23</v>
      </c>
      <c r="E5" s="1">
        <v>12</v>
      </c>
      <c r="F5" s="1">
        <v>4</v>
      </c>
      <c r="G5" s="1">
        <v>1</v>
      </c>
      <c r="H5" s="6">
        <f t="shared" ref="H5:H14" si="0">(E5+F5+G5)/3</f>
        <v>5.666666666666667</v>
      </c>
      <c r="I5" s="1" t="str">
        <f t="shared" ref="I5:I19" si="1">IF(H5&gt;9,"APROVADO","REPROVADO")</f>
        <v>REPROVADO</v>
      </c>
    </row>
    <row r="6" spans="2:9" x14ac:dyDescent="0.25">
      <c r="B6" s="1">
        <f>B5+1</f>
        <v>2</v>
      </c>
      <c r="C6" s="1" t="s">
        <v>8</v>
      </c>
      <c r="D6" s="1" t="s">
        <v>23</v>
      </c>
      <c r="E6" s="1">
        <v>19</v>
      </c>
      <c r="F6" s="1">
        <v>10</v>
      </c>
      <c r="G6" s="1">
        <v>8</v>
      </c>
      <c r="H6" s="6">
        <f t="shared" si="0"/>
        <v>12.333333333333334</v>
      </c>
      <c r="I6" s="1" t="str">
        <f t="shared" si="1"/>
        <v>APROVADO</v>
      </c>
    </row>
    <row r="7" spans="2:9" x14ac:dyDescent="0.25">
      <c r="B7" s="1">
        <f t="shared" ref="B7:B19" si="2">B6+1</f>
        <v>3</v>
      </c>
      <c r="C7" s="1" t="s">
        <v>9</v>
      </c>
      <c r="D7" s="1" t="s">
        <v>23</v>
      </c>
      <c r="E7" s="1">
        <v>4</v>
      </c>
      <c r="F7" s="1">
        <v>11</v>
      </c>
      <c r="G7" s="1">
        <v>18</v>
      </c>
      <c r="H7" s="6">
        <f t="shared" si="0"/>
        <v>11</v>
      </c>
      <c r="I7" s="1" t="str">
        <f t="shared" si="1"/>
        <v>APROVADO</v>
      </c>
    </row>
    <row r="8" spans="2:9" x14ac:dyDescent="0.25">
      <c r="B8" s="1">
        <f t="shared" si="2"/>
        <v>4</v>
      </c>
      <c r="C8" s="1" t="s">
        <v>10</v>
      </c>
      <c r="D8" s="1" t="s">
        <v>23</v>
      </c>
      <c r="E8" s="1">
        <v>20</v>
      </c>
      <c r="F8" s="1">
        <v>8</v>
      </c>
      <c r="G8" s="1">
        <v>9</v>
      </c>
      <c r="H8" s="6">
        <f t="shared" si="0"/>
        <v>12.333333333333334</v>
      </c>
      <c r="I8" s="1" t="str">
        <f t="shared" si="1"/>
        <v>APROVADO</v>
      </c>
    </row>
    <row r="9" spans="2:9" x14ac:dyDescent="0.25">
      <c r="B9" s="1">
        <f t="shared" si="2"/>
        <v>5</v>
      </c>
      <c r="C9" s="1" t="s">
        <v>11</v>
      </c>
      <c r="D9" s="1" t="s">
        <v>23</v>
      </c>
      <c r="E9" s="1">
        <v>12</v>
      </c>
      <c r="F9" s="1">
        <v>11</v>
      </c>
      <c r="G9" s="1">
        <v>9</v>
      </c>
      <c r="H9" s="6">
        <f t="shared" si="0"/>
        <v>10.666666666666666</v>
      </c>
      <c r="I9" s="1" t="str">
        <f t="shared" si="1"/>
        <v>APROVADO</v>
      </c>
    </row>
    <row r="10" spans="2:9" x14ac:dyDescent="0.25">
      <c r="B10" s="1">
        <f t="shared" si="2"/>
        <v>6</v>
      </c>
      <c r="C10" s="1" t="s">
        <v>12</v>
      </c>
      <c r="D10" s="1" t="s">
        <v>24</v>
      </c>
      <c r="E10" s="1">
        <v>8</v>
      </c>
      <c r="F10" s="1">
        <v>19</v>
      </c>
      <c r="G10" s="1">
        <v>13</v>
      </c>
      <c r="H10" s="6">
        <f t="shared" si="0"/>
        <v>13.333333333333334</v>
      </c>
      <c r="I10" s="1" t="str">
        <f t="shared" si="1"/>
        <v>APROVADO</v>
      </c>
    </row>
    <row r="11" spans="2:9" x14ac:dyDescent="0.25">
      <c r="B11" s="1">
        <f t="shared" si="2"/>
        <v>7</v>
      </c>
      <c r="C11" s="1" t="s">
        <v>13</v>
      </c>
      <c r="D11" s="1" t="s">
        <v>24</v>
      </c>
      <c r="E11" s="1">
        <v>8</v>
      </c>
      <c r="F11" s="1">
        <v>16</v>
      </c>
      <c r="G11" s="1">
        <v>9</v>
      </c>
      <c r="H11" s="6">
        <f t="shared" si="0"/>
        <v>11</v>
      </c>
      <c r="I11" s="1" t="str">
        <f t="shared" si="1"/>
        <v>APROVADO</v>
      </c>
    </row>
    <row r="12" spans="2:9" x14ac:dyDescent="0.25">
      <c r="B12" s="1">
        <f t="shared" si="2"/>
        <v>8</v>
      </c>
      <c r="C12" s="1" t="s">
        <v>14</v>
      </c>
      <c r="D12" s="1" t="s">
        <v>24</v>
      </c>
      <c r="E12" s="1">
        <v>18</v>
      </c>
      <c r="F12" s="1">
        <v>2</v>
      </c>
      <c r="G12" s="1">
        <v>7</v>
      </c>
      <c r="H12" s="6">
        <f t="shared" si="0"/>
        <v>9</v>
      </c>
      <c r="I12" s="1" t="str">
        <f t="shared" si="1"/>
        <v>REPROVADO</v>
      </c>
    </row>
    <row r="13" spans="2:9" x14ac:dyDescent="0.25">
      <c r="B13" s="1">
        <f t="shared" si="2"/>
        <v>9</v>
      </c>
      <c r="C13" s="1" t="s">
        <v>15</v>
      </c>
      <c r="D13" s="1" t="s">
        <v>24</v>
      </c>
      <c r="E13" s="1">
        <v>10</v>
      </c>
      <c r="F13" s="1">
        <v>7</v>
      </c>
      <c r="G13" s="1">
        <v>20</v>
      </c>
      <c r="H13" s="6">
        <f t="shared" si="0"/>
        <v>12.333333333333334</v>
      </c>
      <c r="I13" s="1" t="str">
        <f t="shared" si="1"/>
        <v>APROVADO</v>
      </c>
    </row>
    <row r="14" spans="2:9" x14ac:dyDescent="0.25">
      <c r="B14" s="1">
        <f t="shared" si="2"/>
        <v>10</v>
      </c>
      <c r="C14" s="1" t="s">
        <v>16</v>
      </c>
      <c r="D14" s="1" t="s">
        <v>24</v>
      </c>
      <c r="E14" s="1">
        <v>16</v>
      </c>
      <c r="F14" s="1">
        <v>10</v>
      </c>
      <c r="G14" s="1">
        <v>11</v>
      </c>
      <c r="H14" s="6">
        <f t="shared" si="0"/>
        <v>12.333333333333334</v>
      </c>
      <c r="I14" s="1" t="str">
        <f t="shared" si="1"/>
        <v>APROVADO</v>
      </c>
    </row>
    <row r="15" spans="2:9" x14ac:dyDescent="0.25">
      <c r="B15" s="1">
        <f t="shared" si="2"/>
        <v>11</v>
      </c>
      <c r="C15" s="1" t="s">
        <v>17</v>
      </c>
      <c r="D15" s="1" t="s">
        <v>23</v>
      </c>
      <c r="E15" s="1">
        <v>11</v>
      </c>
      <c r="F15" s="1">
        <v>8</v>
      </c>
      <c r="G15" s="1">
        <v>10</v>
      </c>
      <c r="H15" s="6">
        <v>8</v>
      </c>
      <c r="I15" s="1" t="str">
        <f t="shared" si="1"/>
        <v>REPROVADO</v>
      </c>
    </row>
    <row r="16" spans="2:9" x14ac:dyDescent="0.25">
      <c r="B16" s="1">
        <f t="shared" si="2"/>
        <v>12</v>
      </c>
      <c r="C16" s="1" t="s">
        <v>18</v>
      </c>
      <c r="D16" s="1" t="s">
        <v>23</v>
      </c>
      <c r="E16" s="1">
        <v>15</v>
      </c>
      <c r="F16" s="1">
        <v>6</v>
      </c>
      <c r="G16" s="1">
        <v>6</v>
      </c>
      <c r="H16" s="6">
        <f>(E16+F16+G16)/3</f>
        <v>9</v>
      </c>
      <c r="I16" s="1" t="str">
        <f t="shared" si="1"/>
        <v>REPROVADO</v>
      </c>
    </row>
    <row r="17" spans="2:9" x14ac:dyDescent="0.25">
      <c r="B17" s="1">
        <f t="shared" si="2"/>
        <v>13</v>
      </c>
      <c r="C17" s="1" t="s">
        <v>19</v>
      </c>
      <c r="D17" s="1" t="s">
        <v>24</v>
      </c>
      <c r="E17" s="1">
        <v>12</v>
      </c>
      <c r="F17" s="1">
        <v>10</v>
      </c>
      <c r="G17" s="1">
        <v>10</v>
      </c>
      <c r="H17" s="6">
        <f>(E17+F17+G17)/3</f>
        <v>10.666666666666666</v>
      </c>
      <c r="I17" s="1" t="str">
        <f t="shared" si="1"/>
        <v>APROVADO</v>
      </c>
    </row>
    <row r="18" spans="2:9" x14ac:dyDescent="0.25">
      <c r="B18" s="1">
        <f t="shared" si="2"/>
        <v>14</v>
      </c>
      <c r="C18" s="1" t="s">
        <v>20</v>
      </c>
      <c r="D18" s="1" t="s">
        <v>23</v>
      </c>
      <c r="E18" s="1">
        <v>9</v>
      </c>
      <c r="F18" s="1">
        <v>8</v>
      </c>
      <c r="G18" s="1">
        <v>13</v>
      </c>
      <c r="H18" s="6">
        <f>(E18+F18+G18)/3</f>
        <v>10</v>
      </c>
      <c r="I18" s="1" t="str">
        <f t="shared" si="1"/>
        <v>APROVADO</v>
      </c>
    </row>
    <row r="19" spans="2:9" x14ac:dyDescent="0.25">
      <c r="B19" s="1">
        <f t="shared" si="2"/>
        <v>15</v>
      </c>
      <c r="C19" s="1" t="s">
        <v>32</v>
      </c>
      <c r="D19" s="1" t="s">
        <v>23</v>
      </c>
      <c r="E19" s="1">
        <v>5</v>
      </c>
      <c r="F19" s="1">
        <v>20</v>
      </c>
      <c r="G19" s="1">
        <v>8</v>
      </c>
      <c r="H19" s="6">
        <f>(E19+F19+G19)/3</f>
        <v>11</v>
      </c>
      <c r="I19" s="1" t="str">
        <f t="shared" si="1"/>
        <v>APROVADO</v>
      </c>
    </row>
    <row r="20" spans="2:9" x14ac:dyDescent="0.25">
      <c r="B20" s="13">
        <f>B19+1</f>
        <v>16</v>
      </c>
      <c r="C20" s="13" t="s">
        <v>31</v>
      </c>
      <c r="D20" s="13" t="s">
        <v>23</v>
      </c>
      <c r="E20" s="13">
        <v>17</v>
      </c>
      <c r="F20" s="13">
        <v>5</v>
      </c>
      <c r="G20" s="13">
        <v>13</v>
      </c>
      <c r="H20" s="14">
        <f>(E20+F20+G20)/3</f>
        <v>11.666666666666666</v>
      </c>
      <c r="I20" s="13" t="str">
        <f>IF(H20&gt;9,"APROVADO","REPROVADO")</f>
        <v>APROVADO</v>
      </c>
    </row>
    <row r="21" spans="2:9" x14ac:dyDescent="0.25">
      <c r="B21" s="1">
        <f>B20+1</f>
        <v>17</v>
      </c>
      <c r="C21" s="1" t="s">
        <v>34</v>
      </c>
      <c r="D21" s="1" t="s">
        <v>24</v>
      </c>
      <c r="E21" s="1">
        <v>18</v>
      </c>
      <c r="F21" s="1">
        <v>11</v>
      </c>
      <c r="G21" s="1">
        <v>14</v>
      </c>
      <c r="H21" s="6">
        <f>(E21+F21+G21)/3</f>
        <v>14.333333333333334</v>
      </c>
      <c r="I21" s="1" t="str">
        <f>IF(H21&gt;9,"APROVADO","REPROVADO")</f>
        <v>APROVADO</v>
      </c>
    </row>
  </sheetData>
  <phoneticPr fontId="4" type="noConversion"/>
  <conditionalFormatting sqref="H5:H21">
    <cfRule type="cellIs" dxfId="10" priority="5" operator="lessThan">
      <formula>10</formula>
    </cfRule>
    <cfRule type="cellIs" dxfId="9" priority="6" operator="greaterThan">
      <formula>9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8B63-39E4-4C85-A2B7-3121343CA9B0}">
  <dimension ref="C1"/>
  <sheetViews>
    <sheetView showGridLines="0" showRowColHeaders="0" workbookViewId="0">
      <selection activeCell="J45" sqref="J45"/>
    </sheetView>
  </sheetViews>
  <sheetFormatPr defaultRowHeight="15" x14ac:dyDescent="0.25"/>
  <sheetData>
    <row r="1" spans="3:3" s="5" customFormat="1" ht="61.5" x14ac:dyDescent="0.9">
      <c r="C1" s="1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DINAMICA</vt:lpstr>
      <vt:lpstr>TABELA  DINAMICA RECOMENDADA</vt:lpstr>
      <vt:lpstr>Pauta final</vt:lpstr>
      <vt:lpstr>RELATORIO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2026-02-08T13:37:38Z</dcterms:created>
  <dcterms:modified xsi:type="dcterms:W3CDTF">2026-02-11T10:30:03Z</dcterms:modified>
</cp:coreProperties>
</file>