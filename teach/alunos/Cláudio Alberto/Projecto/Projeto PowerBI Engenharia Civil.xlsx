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power-bi\teach\alunos\Cláudio Alberto\Projecto\"/>
    </mc:Choice>
  </mc:AlternateContent>
  <bookViews>
    <workbookView xWindow="0" yWindow="0" windowWidth="20490" windowHeight="7530" activeTab="1"/>
  </bookViews>
  <sheets>
    <sheet name="Guia_Projeto" sheetId="1" r:id="rId1"/>
    <sheet name="Dados_Obra" sheetId="2" r:id="rId2"/>
  </sheets>
  <calcPr calcId="162913"/>
</workbook>
</file>

<file path=xl/calcChain.xml><?xml version="1.0" encoding="utf-8"?>
<calcChain xmlns="http://schemas.openxmlformats.org/spreadsheetml/2006/main">
  <c r="Z133" i="2" l="1"/>
  <c r="Y133" i="2"/>
  <c r="X133" i="2"/>
  <c r="W133" i="2"/>
  <c r="U133" i="2"/>
  <c r="V133" i="2" s="1"/>
  <c r="AA133" i="2" s="1"/>
  <c r="Z132" i="2"/>
  <c r="Y132" i="2"/>
  <c r="X132" i="2"/>
  <c r="W132" i="2"/>
  <c r="U132" i="2"/>
  <c r="V132" i="2" s="1"/>
  <c r="AA132" i="2" s="1"/>
  <c r="Z131" i="2"/>
  <c r="Y131" i="2"/>
  <c r="X131" i="2"/>
  <c r="W131" i="2"/>
  <c r="V131" i="2"/>
  <c r="AA131" i="2" s="1"/>
  <c r="U131" i="2"/>
  <c r="Z130" i="2"/>
  <c r="Y130" i="2"/>
  <c r="X130" i="2"/>
  <c r="W130" i="2"/>
  <c r="U130" i="2"/>
  <c r="V130" i="2" s="1"/>
  <c r="AA130" i="2" s="1"/>
  <c r="Z129" i="2"/>
  <c r="Y129" i="2"/>
  <c r="X129" i="2"/>
  <c r="W129" i="2"/>
  <c r="V129" i="2"/>
  <c r="AA129" i="2" s="1"/>
  <c r="U129" i="2"/>
  <c r="Z128" i="2"/>
  <c r="Y128" i="2"/>
  <c r="X128" i="2"/>
  <c r="W128" i="2"/>
  <c r="U128" i="2"/>
  <c r="V128" i="2" s="1"/>
  <c r="AA128" i="2" s="1"/>
  <c r="Z127" i="2"/>
  <c r="Y127" i="2"/>
  <c r="X127" i="2"/>
  <c r="W127" i="2"/>
  <c r="U127" i="2"/>
  <c r="V127" i="2" s="1"/>
  <c r="AA127" i="2" s="1"/>
  <c r="AA126" i="2"/>
  <c r="Z126" i="2"/>
  <c r="Y126" i="2"/>
  <c r="X126" i="2"/>
  <c r="W126" i="2"/>
  <c r="V126" i="2"/>
  <c r="U126" i="2"/>
  <c r="Z125" i="2"/>
  <c r="Y125" i="2"/>
  <c r="X125" i="2"/>
  <c r="W125" i="2"/>
  <c r="U125" i="2"/>
  <c r="V125" i="2" s="1"/>
  <c r="AA125" i="2" s="1"/>
  <c r="Z124" i="2"/>
  <c r="Y124" i="2"/>
  <c r="X124" i="2"/>
  <c r="W124" i="2"/>
  <c r="V124" i="2"/>
  <c r="AA124" i="2" s="1"/>
  <c r="U124" i="2"/>
  <c r="Z123" i="2"/>
  <c r="Y123" i="2"/>
  <c r="X123" i="2"/>
  <c r="W123" i="2"/>
  <c r="V123" i="2"/>
  <c r="AA123" i="2" s="1"/>
  <c r="U123" i="2"/>
  <c r="Z122" i="2"/>
  <c r="Y122" i="2"/>
  <c r="X122" i="2"/>
  <c r="W122" i="2"/>
  <c r="U122" i="2"/>
  <c r="V122" i="2" s="1"/>
  <c r="AA122" i="2" s="1"/>
  <c r="Z121" i="2"/>
  <c r="Y121" i="2"/>
  <c r="X121" i="2"/>
  <c r="W121" i="2"/>
  <c r="V121" i="2"/>
  <c r="AA121" i="2" s="1"/>
  <c r="U121" i="2"/>
  <c r="Z120" i="2"/>
  <c r="Y120" i="2"/>
  <c r="X120" i="2"/>
  <c r="W120" i="2"/>
  <c r="U120" i="2"/>
  <c r="V120" i="2" s="1"/>
  <c r="AA120" i="2" s="1"/>
  <c r="Z119" i="2"/>
  <c r="Y119" i="2"/>
  <c r="X119" i="2"/>
  <c r="W119" i="2"/>
  <c r="U119" i="2"/>
  <c r="V119" i="2" s="1"/>
  <c r="AA119" i="2" s="1"/>
  <c r="Z118" i="2"/>
  <c r="Y118" i="2"/>
  <c r="X118" i="2"/>
  <c r="W118" i="2"/>
  <c r="AA118" i="2" s="1"/>
  <c r="V118" i="2"/>
  <c r="U118" i="2"/>
  <c r="Z117" i="2"/>
  <c r="Y117" i="2"/>
  <c r="X117" i="2"/>
  <c r="W117" i="2"/>
  <c r="V117" i="2"/>
  <c r="AA117" i="2" s="1"/>
  <c r="U117" i="2"/>
  <c r="Z116" i="2"/>
  <c r="Y116" i="2"/>
  <c r="X116" i="2"/>
  <c r="W116" i="2"/>
  <c r="U116" i="2"/>
  <c r="V116" i="2" s="1"/>
  <c r="AA116" i="2" s="1"/>
  <c r="Z115" i="2"/>
  <c r="Y115" i="2"/>
  <c r="X115" i="2"/>
  <c r="W115" i="2"/>
  <c r="V115" i="2"/>
  <c r="AA115" i="2" s="1"/>
  <c r="U115" i="2"/>
  <c r="Z114" i="2"/>
  <c r="Y114" i="2"/>
  <c r="X114" i="2"/>
  <c r="W114" i="2"/>
  <c r="U114" i="2"/>
  <c r="V114" i="2" s="1"/>
  <c r="AA114" i="2" s="1"/>
  <c r="Z113" i="2"/>
  <c r="Y113" i="2"/>
  <c r="X113" i="2"/>
  <c r="W113" i="2"/>
  <c r="V113" i="2"/>
  <c r="AA113" i="2" s="1"/>
  <c r="U113" i="2"/>
  <c r="Z112" i="2"/>
  <c r="Y112" i="2"/>
  <c r="X112" i="2"/>
  <c r="W112" i="2"/>
  <c r="U112" i="2"/>
  <c r="V112" i="2" s="1"/>
  <c r="AA112" i="2" s="1"/>
  <c r="Z111" i="2"/>
  <c r="Y111" i="2"/>
  <c r="X111" i="2"/>
  <c r="W111" i="2"/>
  <c r="U111" i="2"/>
  <c r="V111" i="2" s="1"/>
  <c r="AA111" i="2" s="1"/>
  <c r="Z110" i="2"/>
  <c r="Y110" i="2"/>
  <c r="X110" i="2"/>
  <c r="W110" i="2"/>
  <c r="AA110" i="2" s="1"/>
  <c r="V110" i="2"/>
  <c r="U110" i="2"/>
  <c r="Z109" i="2"/>
  <c r="Y109" i="2"/>
  <c r="X109" i="2"/>
  <c r="W109" i="2"/>
  <c r="V109" i="2"/>
  <c r="AA109" i="2" s="1"/>
  <c r="U109" i="2"/>
  <c r="Z108" i="2"/>
  <c r="Y108" i="2"/>
  <c r="X108" i="2"/>
  <c r="W108" i="2"/>
  <c r="U108" i="2"/>
  <c r="V108" i="2" s="1"/>
  <c r="AA108" i="2" s="1"/>
  <c r="Z107" i="2"/>
  <c r="Y107" i="2"/>
  <c r="X107" i="2"/>
  <c r="W107" i="2"/>
  <c r="V107" i="2"/>
  <c r="AA107" i="2" s="1"/>
  <c r="U107" i="2"/>
  <c r="Z106" i="2"/>
  <c r="Y106" i="2"/>
  <c r="X106" i="2"/>
  <c r="W106" i="2"/>
  <c r="U106" i="2"/>
  <c r="V106" i="2" s="1"/>
  <c r="AA106" i="2" s="1"/>
  <c r="Z105" i="2"/>
  <c r="Y105" i="2"/>
  <c r="X105" i="2"/>
  <c r="W105" i="2"/>
  <c r="V105" i="2"/>
  <c r="AA105" i="2" s="1"/>
  <c r="U105" i="2"/>
  <c r="Z104" i="2"/>
  <c r="Y104" i="2"/>
  <c r="X104" i="2"/>
  <c r="W104" i="2"/>
  <c r="U104" i="2"/>
  <c r="V104" i="2" s="1"/>
  <c r="AA104" i="2" s="1"/>
  <c r="Z103" i="2"/>
  <c r="Y103" i="2"/>
  <c r="X103" i="2"/>
  <c r="W103" i="2"/>
  <c r="U103" i="2"/>
  <c r="V103" i="2" s="1"/>
  <c r="AA103" i="2" s="1"/>
  <c r="Z102" i="2"/>
  <c r="Y102" i="2"/>
  <c r="X102" i="2"/>
  <c r="W102" i="2"/>
  <c r="AA102" i="2" s="1"/>
  <c r="V102" i="2"/>
  <c r="U102" i="2"/>
  <c r="Z101" i="2"/>
  <c r="Y101" i="2"/>
  <c r="X101" i="2"/>
  <c r="W101" i="2"/>
  <c r="V101" i="2"/>
  <c r="AA101" i="2" s="1"/>
  <c r="U101" i="2"/>
  <c r="Z100" i="2"/>
  <c r="Y100" i="2"/>
  <c r="X100" i="2"/>
  <c r="W100" i="2"/>
  <c r="U100" i="2"/>
  <c r="V100" i="2" s="1"/>
  <c r="AA100" i="2" s="1"/>
  <c r="Z99" i="2"/>
  <c r="Y99" i="2"/>
  <c r="X99" i="2"/>
  <c r="W99" i="2"/>
  <c r="V99" i="2"/>
  <c r="AA99" i="2" s="1"/>
  <c r="U99" i="2"/>
  <c r="Z98" i="2"/>
  <c r="Y98" i="2"/>
  <c r="X98" i="2"/>
  <c r="W98" i="2"/>
  <c r="U98" i="2"/>
  <c r="V98" i="2" s="1"/>
  <c r="AA98" i="2" s="1"/>
  <c r="Z97" i="2"/>
  <c r="Y97" i="2"/>
  <c r="X97" i="2"/>
  <c r="W97" i="2"/>
  <c r="V97" i="2"/>
  <c r="AA97" i="2" s="1"/>
  <c r="U97" i="2"/>
  <c r="Z96" i="2"/>
  <c r="Y96" i="2"/>
  <c r="X96" i="2"/>
  <c r="W96" i="2"/>
  <c r="U96" i="2"/>
  <c r="V96" i="2" s="1"/>
  <c r="AA96" i="2" s="1"/>
  <c r="Z95" i="2"/>
  <c r="Y95" i="2"/>
  <c r="X95" i="2"/>
  <c r="W95" i="2"/>
  <c r="U95" i="2"/>
  <c r="V95" i="2" s="1"/>
  <c r="AA95" i="2" s="1"/>
  <c r="Z94" i="2"/>
  <c r="Y94" i="2"/>
  <c r="X94" i="2"/>
  <c r="W94" i="2"/>
  <c r="AA94" i="2" s="1"/>
  <c r="V94" i="2"/>
  <c r="U94" i="2"/>
  <c r="Z93" i="2"/>
  <c r="Y93" i="2"/>
  <c r="X93" i="2"/>
  <c r="W93" i="2"/>
  <c r="V93" i="2"/>
  <c r="AA93" i="2" s="1"/>
  <c r="U93" i="2"/>
  <c r="Z92" i="2"/>
  <c r="Y92" i="2"/>
  <c r="X92" i="2"/>
  <c r="W92" i="2"/>
  <c r="U92" i="2"/>
  <c r="V92" i="2" s="1"/>
  <c r="AA92" i="2" s="1"/>
  <c r="Z91" i="2"/>
  <c r="Y91" i="2"/>
  <c r="X91" i="2"/>
  <c r="W91" i="2"/>
  <c r="V91" i="2"/>
  <c r="AA91" i="2" s="1"/>
  <c r="U91" i="2"/>
  <c r="Z90" i="2"/>
  <c r="Y90" i="2"/>
  <c r="X90" i="2"/>
  <c r="W90" i="2"/>
  <c r="U90" i="2"/>
  <c r="V90" i="2" s="1"/>
  <c r="AA90" i="2" s="1"/>
  <c r="Z89" i="2"/>
  <c r="Y89" i="2"/>
  <c r="X89" i="2"/>
  <c r="W89" i="2"/>
  <c r="V89" i="2"/>
  <c r="AA89" i="2" s="1"/>
  <c r="U89" i="2"/>
  <c r="Z88" i="2"/>
  <c r="Y88" i="2"/>
  <c r="X88" i="2"/>
  <c r="W88" i="2"/>
  <c r="U88" i="2"/>
  <c r="V88" i="2" s="1"/>
  <c r="AA88" i="2" s="1"/>
  <c r="Z87" i="2"/>
  <c r="Y87" i="2"/>
  <c r="X87" i="2"/>
  <c r="W87" i="2"/>
  <c r="U87" i="2"/>
  <c r="V87" i="2" s="1"/>
  <c r="AA87" i="2" s="1"/>
  <c r="Z86" i="2"/>
  <c r="Y86" i="2"/>
  <c r="X86" i="2"/>
  <c r="W86" i="2"/>
  <c r="AA86" i="2" s="1"/>
  <c r="V86" i="2"/>
  <c r="U86" i="2"/>
  <c r="Z85" i="2"/>
  <c r="Y85" i="2"/>
  <c r="X85" i="2"/>
  <c r="W85" i="2"/>
  <c r="V85" i="2"/>
  <c r="AA85" i="2" s="1"/>
  <c r="U85" i="2"/>
  <c r="Z84" i="2"/>
  <c r="Y84" i="2"/>
  <c r="X84" i="2"/>
  <c r="W84" i="2"/>
  <c r="U84" i="2"/>
  <c r="V84" i="2" s="1"/>
  <c r="AA84" i="2" s="1"/>
  <c r="Z83" i="2"/>
  <c r="Y83" i="2"/>
  <c r="X83" i="2"/>
  <c r="W83" i="2"/>
  <c r="V83" i="2"/>
  <c r="AA83" i="2" s="1"/>
  <c r="U83" i="2"/>
  <c r="Z82" i="2"/>
  <c r="Y82" i="2"/>
  <c r="X82" i="2"/>
  <c r="W82" i="2"/>
  <c r="U82" i="2"/>
  <c r="V82" i="2" s="1"/>
  <c r="AA82" i="2" s="1"/>
  <c r="Z81" i="2"/>
  <c r="Y81" i="2"/>
  <c r="X81" i="2"/>
  <c r="W81" i="2"/>
  <c r="V81" i="2"/>
  <c r="AA81" i="2" s="1"/>
  <c r="U81" i="2"/>
  <c r="Z80" i="2"/>
  <c r="Y80" i="2"/>
  <c r="X80" i="2"/>
  <c r="W80" i="2"/>
  <c r="U80" i="2"/>
  <c r="V80" i="2" s="1"/>
  <c r="AA80" i="2" s="1"/>
  <c r="Z79" i="2"/>
  <c r="Y79" i="2"/>
  <c r="X79" i="2"/>
  <c r="W79" i="2"/>
  <c r="U79" i="2"/>
  <c r="V79" i="2" s="1"/>
  <c r="AA79" i="2" s="1"/>
  <c r="Z78" i="2"/>
  <c r="Y78" i="2"/>
  <c r="X78" i="2"/>
  <c r="W78" i="2"/>
  <c r="AA78" i="2" s="1"/>
  <c r="V78" i="2"/>
  <c r="U78" i="2"/>
  <c r="Z77" i="2"/>
  <c r="Y77" i="2"/>
  <c r="X77" i="2"/>
  <c r="W77" i="2"/>
  <c r="V77" i="2"/>
  <c r="AA77" i="2" s="1"/>
  <c r="U77" i="2"/>
  <c r="Z76" i="2"/>
  <c r="Y76" i="2"/>
  <c r="X76" i="2"/>
  <c r="W76" i="2"/>
  <c r="U76" i="2"/>
  <c r="V76" i="2" s="1"/>
  <c r="AA76" i="2" s="1"/>
  <c r="Z75" i="2"/>
  <c r="Y75" i="2"/>
  <c r="X75" i="2"/>
  <c r="W75" i="2"/>
  <c r="V75" i="2"/>
  <c r="AA75" i="2" s="1"/>
  <c r="U75" i="2"/>
  <c r="Z74" i="2"/>
  <c r="Y74" i="2"/>
  <c r="X74" i="2"/>
  <c r="W74" i="2"/>
  <c r="U74" i="2"/>
  <c r="V74" i="2" s="1"/>
  <c r="AA74" i="2" s="1"/>
  <c r="Z73" i="2"/>
  <c r="Y73" i="2"/>
  <c r="X73" i="2"/>
  <c r="W73" i="2"/>
  <c r="V73" i="2"/>
  <c r="AA73" i="2" s="1"/>
  <c r="U73" i="2"/>
  <c r="Z72" i="2"/>
  <c r="Y72" i="2"/>
  <c r="X72" i="2"/>
  <c r="W72" i="2"/>
  <c r="U72" i="2"/>
  <c r="V72" i="2" s="1"/>
  <c r="AA72" i="2" s="1"/>
  <c r="Z71" i="2"/>
  <c r="Y71" i="2"/>
  <c r="X71" i="2"/>
  <c r="W71" i="2"/>
  <c r="U71" i="2"/>
  <c r="V71" i="2" s="1"/>
  <c r="AA71" i="2" s="1"/>
  <c r="Z70" i="2"/>
  <c r="Y70" i="2"/>
  <c r="X70" i="2"/>
  <c r="W70" i="2"/>
  <c r="AA70" i="2" s="1"/>
  <c r="V70" i="2"/>
  <c r="U70" i="2"/>
  <c r="Z69" i="2"/>
  <c r="Y69" i="2"/>
  <c r="X69" i="2"/>
  <c r="W69" i="2"/>
  <c r="V69" i="2"/>
  <c r="AA69" i="2" s="1"/>
  <c r="U69" i="2"/>
  <c r="Z68" i="2"/>
  <c r="Y68" i="2"/>
  <c r="X68" i="2"/>
  <c r="W68" i="2"/>
  <c r="U68" i="2"/>
  <c r="V68" i="2" s="1"/>
  <c r="AA68" i="2" s="1"/>
  <c r="Z67" i="2"/>
  <c r="Y67" i="2"/>
  <c r="X67" i="2"/>
  <c r="W67" i="2"/>
  <c r="V67" i="2"/>
  <c r="AA67" i="2" s="1"/>
  <c r="U67" i="2"/>
  <c r="Z66" i="2"/>
  <c r="Y66" i="2"/>
  <c r="X66" i="2"/>
  <c r="W66" i="2"/>
  <c r="U66" i="2"/>
  <c r="V66" i="2" s="1"/>
  <c r="AA66" i="2" s="1"/>
  <c r="Z65" i="2"/>
  <c r="Y65" i="2"/>
  <c r="X65" i="2"/>
  <c r="W65" i="2"/>
  <c r="V65" i="2"/>
  <c r="AA65" i="2" s="1"/>
  <c r="U65" i="2"/>
  <c r="Z64" i="2"/>
  <c r="Y64" i="2"/>
  <c r="X64" i="2"/>
  <c r="W64" i="2"/>
  <c r="U64" i="2"/>
  <c r="V64" i="2" s="1"/>
  <c r="AA64" i="2" s="1"/>
  <c r="Z63" i="2"/>
  <c r="Y63" i="2"/>
  <c r="X63" i="2"/>
  <c r="W63" i="2"/>
  <c r="U63" i="2"/>
  <c r="V63" i="2" s="1"/>
  <c r="AA63" i="2" s="1"/>
  <c r="AA62" i="2"/>
  <c r="Z62" i="2"/>
  <c r="Y62" i="2"/>
  <c r="X62" i="2"/>
  <c r="W62" i="2"/>
  <c r="V62" i="2"/>
  <c r="U62" i="2"/>
  <c r="Z61" i="2"/>
  <c r="Y61" i="2"/>
  <c r="X61" i="2"/>
  <c r="W61" i="2"/>
  <c r="V61" i="2"/>
  <c r="AA61" i="2" s="1"/>
  <c r="U61" i="2"/>
  <c r="Z60" i="2"/>
  <c r="Y60" i="2"/>
  <c r="X60" i="2"/>
  <c r="W60" i="2"/>
  <c r="U60" i="2"/>
  <c r="V60" i="2" s="1"/>
  <c r="AA60" i="2" s="1"/>
  <c r="Z59" i="2"/>
  <c r="Y59" i="2"/>
  <c r="X59" i="2"/>
  <c r="W59" i="2"/>
  <c r="U59" i="2"/>
  <c r="V59" i="2" s="1"/>
  <c r="AA59" i="2" s="1"/>
  <c r="Z58" i="2"/>
  <c r="Y58" i="2"/>
  <c r="X58" i="2"/>
  <c r="W58" i="2"/>
  <c r="U58" i="2"/>
  <c r="V58" i="2" s="1"/>
  <c r="AA58" i="2" s="1"/>
  <c r="Z57" i="2"/>
  <c r="Y57" i="2"/>
  <c r="X57" i="2"/>
  <c r="W57" i="2"/>
  <c r="V57" i="2"/>
  <c r="AA57" i="2" s="1"/>
  <c r="U57" i="2"/>
  <c r="Z56" i="2"/>
  <c r="Y56" i="2"/>
  <c r="X56" i="2"/>
  <c r="W56" i="2"/>
  <c r="U56" i="2"/>
  <c r="V56" i="2" s="1"/>
  <c r="AA56" i="2" s="1"/>
  <c r="Z55" i="2"/>
  <c r="Y55" i="2"/>
  <c r="X55" i="2"/>
  <c r="W55" i="2"/>
  <c r="U55" i="2"/>
  <c r="V55" i="2" s="1"/>
  <c r="AA55" i="2" s="1"/>
  <c r="Z54" i="2"/>
  <c r="Y54" i="2"/>
  <c r="X54" i="2"/>
  <c r="W54" i="2"/>
  <c r="AA54" i="2" s="1"/>
  <c r="V54" i="2"/>
  <c r="U54" i="2"/>
  <c r="Z53" i="2"/>
  <c r="Y53" i="2"/>
  <c r="X53" i="2"/>
  <c r="W53" i="2"/>
  <c r="V53" i="2"/>
  <c r="AA53" i="2" s="1"/>
  <c r="U53" i="2"/>
  <c r="Z52" i="2"/>
  <c r="Y52" i="2"/>
  <c r="X52" i="2"/>
  <c r="W52" i="2"/>
  <c r="U52" i="2"/>
  <c r="V52" i="2" s="1"/>
  <c r="AA52" i="2" s="1"/>
  <c r="Z51" i="2"/>
  <c r="Y51" i="2"/>
  <c r="X51" i="2"/>
  <c r="W51" i="2"/>
  <c r="V51" i="2"/>
  <c r="AA51" i="2" s="1"/>
  <c r="U51" i="2"/>
  <c r="Z50" i="2"/>
  <c r="Y50" i="2"/>
  <c r="X50" i="2"/>
  <c r="W50" i="2"/>
  <c r="U50" i="2"/>
  <c r="V50" i="2" s="1"/>
  <c r="AA50" i="2" s="1"/>
  <c r="Z49" i="2"/>
  <c r="Y49" i="2"/>
  <c r="X49" i="2"/>
  <c r="W49" i="2"/>
  <c r="V49" i="2"/>
  <c r="AA49" i="2" s="1"/>
  <c r="U49" i="2"/>
  <c r="Z48" i="2"/>
  <c r="Y48" i="2"/>
  <c r="X48" i="2"/>
  <c r="W48" i="2"/>
  <c r="U48" i="2"/>
  <c r="V48" i="2" s="1"/>
  <c r="AA48" i="2" s="1"/>
  <c r="Z47" i="2"/>
  <c r="Y47" i="2"/>
  <c r="X47" i="2"/>
  <c r="W47" i="2"/>
  <c r="U47" i="2"/>
  <c r="V47" i="2" s="1"/>
  <c r="AA47" i="2" s="1"/>
  <c r="Z46" i="2"/>
  <c r="Y46" i="2"/>
  <c r="X46" i="2"/>
  <c r="W46" i="2"/>
  <c r="AA46" i="2" s="1"/>
  <c r="V46" i="2"/>
  <c r="U46" i="2"/>
  <c r="Z45" i="2"/>
  <c r="Y45" i="2"/>
  <c r="X45" i="2"/>
  <c r="W45" i="2"/>
  <c r="V45" i="2"/>
  <c r="AA45" i="2" s="1"/>
  <c r="U45" i="2"/>
  <c r="Z44" i="2"/>
  <c r="Y44" i="2"/>
  <c r="X44" i="2"/>
  <c r="W44" i="2"/>
  <c r="U44" i="2"/>
  <c r="V44" i="2" s="1"/>
  <c r="AA44" i="2" s="1"/>
  <c r="Z43" i="2"/>
  <c r="Y43" i="2"/>
  <c r="X43" i="2"/>
  <c r="W43" i="2"/>
  <c r="U43" i="2"/>
  <c r="V43" i="2" s="1"/>
  <c r="AA43" i="2" s="1"/>
  <c r="Z42" i="2"/>
  <c r="Y42" i="2"/>
  <c r="X42" i="2"/>
  <c r="W42" i="2"/>
  <c r="U42" i="2"/>
  <c r="V42" i="2" s="1"/>
  <c r="AA42" i="2" s="1"/>
  <c r="Z41" i="2"/>
  <c r="Y41" i="2"/>
  <c r="X41" i="2"/>
  <c r="W41" i="2"/>
  <c r="V41" i="2"/>
  <c r="AA41" i="2" s="1"/>
  <c r="U41" i="2"/>
  <c r="Z40" i="2"/>
  <c r="Y40" i="2"/>
  <c r="X40" i="2"/>
  <c r="W40" i="2"/>
  <c r="U40" i="2"/>
  <c r="V40" i="2" s="1"/>
  <c r="AA40" i="2" s="1"/>
  <c r="Z39" i="2"/>
  <c r="Y39" i="2"/>
  <c r="X39" i="2"/>
  <c r="W39" i="2"/>
  <c r="U39" i="2"/>
  <c r="V39" i="2" s="1"/>
  <c r="AA39" i="2" s="1"/>
  <c r="Z38" i="2"/>
  <c r="Y38" i="2"/>
  <c r="X38" i="2"/>
  <c r="W38" i="2"/>
  <c r="AA38" i="2" s="1"/>
  <c r="V38" i="2"/>
  <c r="U38" i="2"/>
  <c r="Z37" i="2"/>
  <c r="Y37" i="2"/>
  <c r="X37" i="2"/>
  <c r="W37" i="2"/>
  <c r="V37" i="2"/>
  <c r="AA37" i="2" s="1"/>
  <c r="U37" i="2"/>
  <c r="Z36" i="2"/>
  <c r="Y36" i="2"/>
  <c r="X36" i="2"/>
  <c r="W36" i="2"/>
  <c r="U36" i="2"/>
  <c r="V36" i="2" s="1"/>
  <c r="AA36" i="2" s="1"/>
  <c r="Z35" i="2"/>
  <c r="Y35" i="2"/>
  <c r="X35" i="2"/>
  <c r="W35" i="2"/>
  <c r="U35" i="2"/>
  <c r="V35" i="2" s="1"/>
  <c r="AA35" i="2" s="1"/>
  <c r="Z34" i="2"/>
  <c r="Y34" i="2"/>
  <c r="X34" i="2"/>
  <c r="W34" i="2"/>
  <c r="U34" i="2"/>
  <c r="V34" i="2" s="1"/>
  <c r="AA34" i="2" s="1"/>
  <c r="Z33" i="2"/>
  <c r="Y33" i="2"/>
  <c r="X33" i="2"/>
  <c r="W33" i="2"/>
  <c r="V33" i="2"/>
  <c r="AA33" i="2" s="1"/>
  <c r="U33" i="2"/>
  <c r="Z32" i="2"/>
  <c r="Y32" i="2"/>
  <c r="X32" i="2"/>
  <c r="W32" i="2"/>
  <c r="U32" i="2"/>
  <c r="V32" i="2" s="1"/>
  <c r="AA32" i="2" s="1"/>
  <c r="Z31" i="2"/>
  <c r="Y31" i="2"/>
  <c r="X31" i="2"/>
  <c r="W31" i="2"/>
  <c r="U31" i="2"/>
  <c r="V31" i="2" s="1"/>
  <c r="AA31" i="2" s="1"/>
  <c r="Z30" i="2"/>
  <c r="Y30" i="2"/>
  <c r="X30" i="2"/>
  <c r="W30" i="2"/>
  <c r="AA30" i="2" s="1"/>
  <c r="V30" i="2"/>
  <c r="U30" i="2"/>
  <c r="Z29" i="2"/>
  <c r="Y29" i="2"/>
  <c r="X29" i="2"/>
  <c r="W29" i="2"/>
  <c r="V29" i="2"/>
  <c r="AA29" i="2" s="1"/>
  <c r="U29" i="2"/>
  <c r="Z28" i="2"/>
  <c r="Y28" i="2"/>
  <c r="X28" i="2"/>
  <c r="W28" i="2"/>
  <c r="U28" i="2"/>
  <c r="V28" i="2" s="1"/>
  <c r="AA28" i="2" s="1"/>
  <c r="Z27" i="2"/>
  <c r="Y27" i="2"/>
  <c r="X27" i="2"/>
  <c r="W27" i="2"/>
  <c r="U27" i="2"/>
  <c r="V27" i="2" s="1"/>
  <c r="AA27" i="2" s="1"/>
  <c r="AA26" i="2"/>
  <c r="Z26" i="2"/>
  <c r="Y26" i="2"/>
  <c r="X26" i="2"/>
  <c r="W26" i="2"/>
  <c r="V26" i="2"/>
  <c r="U26" i="2"/>
  <c r="Z25" i="2"/>
  <c r="Y25" i="2"/>
  <c r="X25" i="2"/>
  <c r="W25" i="2"/>
  <c r="V25" i="2"/>
  <c r="AA25" i="2" s="1"/>
  <c r="U25" i="2"/>
  <c r="Z24" i="2"/>
  <c r="Y24" i="2"/>
  <c r="X24" i="2"/>
  <c r="W24" i="2"/>
  <c r="U24" i="2"/>
  <c r="V24" i="2" s="1"/>
  <c r="AA24" i="2" s="1"/>
  <c r="Z23" i="2"/>
  <c r="Y23" i="2"/>
  <c r="X23" i="2"/>
  <c r="W23" i="2"/>
  <c r="U23" i="2"/>
  <c r="V23" i="2" s="1"/>
  <c r="AA23" i="2" s="1"/>
  <c r="Z22" i="2"/>
  <c r="Y22" i="2"/>
  <c r="X22" i="2"/>
  <c r="W22" i="2"/>
  <c r="U22" i="2"/>
  <c r="V22" i="2" s="1"/>
  <c r="AA22" i="2" s="1"/>
  <c r="Z21" i="2"/>
  <c r="Y21" i="2"/>
  <c r="X21" i="2"/>
  <c r="W21" i="2"/>
  <c r="V21" i="2"/>
  <c r="AA21" i="2" s="1"/>
  <c r="U21" i="2"/>
  <c r="Z20" i="2"/>
  <c r="Y20" i="2"/>
  <c r="X20" i="2"/>
  <c r="W20" i="2"/>
  <c r="U20" i="2"/>
  <c r="V20" i="2" s="1"/>
  <c r="AA20" i="2" s="1"/>
  <c r="Z19" i="2"/>
  <c r="Y19" i="2"/>
  <c r="X19" i="2"/>
  <c r="W19" i="2"/>
  <c r="U19" i="2"/>
  <c r="V19" i="2" s="1"/>
  <c r="AA19" i="2" s="1"/>
  <c r="AA18" i="2"/>
  <c r="Z18" i="2"/>
  <c r="Y18" i="2"/>
  <c r="X18" i="2"/>
  <c r="W18" i="2"/>
  <c r="V18" i="2"/>
  <c r="U18" i="2"/>
  <c r="Z17" i="2"/>
  <c r="Y17" i="2"/>
  <c r="X17" i="2"/>
  <c r="W17" i="2"/>
  <c r="V17" i="2"/>
  <c r="AA17" i="2" s="1"/>
  <c r="U17" i="2"/>
  <c r="Z16" i="2"/>
  <c r="Y16" i="2"/>
  <c r="X16" i="2"/>
  <c r="W16" i="2"/>
  <c r="U16" i="2"/>
  <c r="V16" i="2" s="1"/>
  <c r="AA16" i="2" s="1"/>
  <c r="Z15" i="2"/>
  <c r="Y15" i="2"/>
  <c r="X15" i="2"/>
  <c r="W15" i="2"/>
  <c r="U15" i="2"/>
  <c r="V15" i="2" s="1"/>
  <c r="AA15" i="2" s="1"/>
  <c r="Z14" i="2"/>
  <c r="Y14" i="2"/>
  <c r="X14" i="2"/>
  <c r="W14" i="2"/>
  <c r="AA14" i="2" s="1"/>
  <c r="V14" i="2"/>
  <c r="U14" i="2"/>
  <c r="Z13" i="2"/>
  <c r="Y13" i="2"/>
  <c r="X13" i="2"/>
  <c r="W13" i="2"/>
  <c r="V13" i="2"/>
  <c r="AA13" i="2" s="1"/>
  <c r="U13" i="2"/>
  <c r="Z12" i="2"/>
  <c r="Y12" i="2"/>
  <c r="X12" i="2"/>
  <c r="W12" i="2"/>
  <c r="U12" i="2"/>
  <c r="V12" i="2" s="1"/>
  <c r="AA12" i="2" s="1"/>
  <c r="Z11" i="2"/>
  <c r="Y11" i="2"/>
  <c r="X11" i="2"/>
  <c r="W11" i="2"/>
  <c r="U11" i="2"/>
  <c r="V11" i="2" s="1"/>
  <c r="AA11" i="2" s="1"/>
  <c r="AA10" i="2"/>
  <c r="Z10" i="2"/>
  <c r="Y10" i="2"/>
  <c r="X10" i="2"/>
  <c r="W10" i="2"/>
  <c r="V10" i="2"/>
  <c r="U10" i="2"/>
  <c r="Z9" i="2"/>
  <c r="Y9" i="2"/>
  <c r="X9" i="2"/>
  <c r="W9" i="2"/>
  <c r="V9" i="2"/>
  <c r="AA9" i="2" s="1"/>
  <c r="U9" i="2"/>
  <c r="Z8" i="2"/>
  <c r="Y8" i="2"/>
  <c r="X8" i="2"/>
  <c r="W8" i="2"/>
  <c r="U8" i="2"/>
  <c r="V8" i="2" s="1"/>
  <c r="AA8" i="2" s="1"/>
  <c r="Z7" i="2"/>
  <c r="Y7" i="2"/>
  <c r="X7" i="2"/>
  <c r="W7" i="2"/>
  <c r="V7" i="2"/>
  <c r="AA7" i="2" s="1"/>
  <c r="U7" i="2"/>
  <c r="Z6" i="2"/>
  <c r="Y6" i="2"/>
  <c r="X6" i="2"/>
  <c r="W6" i="2"/>
  <c r="U6" i="2"/>
  <c r="V6" i="2" s="1"/>
  <c r="AA6" i="2" s="1"/>
  <c r="Z5" i="2"/>
  <c r="Y5" i="2"/>
  <c r="X5" i="2"/>
  <c r="W5" i="2"/>
  <c r="V5" i="2"/>
  <c r="AA5" i="2" s="1"/>
  <c r="U5" i="2"/>
  <c r="Z4" i="2"/>
  <c r="Y4" i="2"/>
  <c r="X4" i="2"/>
  <c r="W4" i="2"/>
  <c r="U4" i="2"/>
  <c r="V4" i="2" s="1"/>
  <c r="AA4" i="2" s="1"/>
  <c r="Z3" i="2"/>
  <c r="Y3" i="2"/>
  <c r="X3" i="2"/>
  <c r="W3" i="2"/>
  <c r="U3" i="2"/>
  <c r="V3" i="2" s="1"/>
  <c r="AA3" i="2" s="1"/>
  <c r="AA2" i="2"/>
  <c r="Z2" i="2"/>
  <c r="Y2" i="2"/>
  <c r="X2" i="2"/>
  <c r="W2" i="2"/>
  <c r="V2" i="2"/>
  <c r="U2" i="2"/>
</calcChain>
</file>

<file path=xl/sharedStrings.xml><?xml version="1.0" encoding="utf-8"?>
<sst xmlns="http://schemas.openxmlformats.org/spreadsheetml/2006/main" count="1061" uniqueCount="367">
  <si>
    <t>Item</t>
  </si>
  <si>
    <t>Descrição</t>
  </si>
  <si>
    <t>Contexto</t>
  </si>
  <si>
    <t>Acompanhamento físico-financeiro de uma obra residencial em Viana, Luanda.</t>
  </si>
  <si>
    <t>Projeto</t>
  </si>
  <si>
    <t>Edifício Residencial Térreo + 3 Pisos — Viana</t>
  </si>
  <si>
    <t>Período dos dados</t>
  </si>
  <si>
    <t>Março a Agosto de 2026</t>
  </si>
  <si>
    <t>Objetivo</t>
  </si>
  <si>
    <t>Criar um dashboard Power BI para controlar avanço, custo, prazo, produtividade e SST.</t>
  </si>
  <si>
    <t>Nível</t>
  </si>
  <si>
    <t>Básico / durante o curso</t>
  </si>
  <si>
    <t>Granularidade</t>
  </si>
  <si>
    <t>Pacote de trabalho / frente de serviço</t>
  </si>
  <si>
    <t>Fonte</t>
  </si>
  <si>
    <t>Dados simulados e realistas para fins pedagógicos.</t>
  </si>
  <si>
    <t>Entrega esperada</t>
  </si>
  <si>
    <t>1 página executiva + 1 página operacional no Power BI.</t>
  </si>
  <si>
    <t>KPI / Indicador</t>
  </si>
  <si>
    <t>Definição</t>
  </si>
  <si>
    <t>Campo-base</t>
  </si>
  <si>
    <t>Visual sugerido</t>
  </si>
  <si>
    <t>Meta / Regra</t>
  </si>
  <si>
    <t>Resumo do ficheiro</t>
  </si>
  <si>
    <t>Valor</t>
  </si>
  <si>
    <t>Orçamento Planeado</t>
  </si>
  <si>
    <t>Soma do orçamento aprovado para os pacotes de trabalho.</t>
  </si>
  <si>
    <t>Orcamento_Planeado_AOA</t>
  </si>
  <si>
    <t>Cartão</t>
  </si>
  <si>
    <t>Controlar BAC</t>
  </si>
  <si>
    <t>Registos</t>
  </si>
  <si>
    <t>Custo Real</t>
  </si>
  <si>
    <t>Soma dos custos efetivamente incorridos.</t>
  </si>
  <si>
    <t>Custo_Real_AOA</t>
  </si>
  <si>
    <t>≤ Orçamento</t>
  </si>
  <si>
    <t>Fases</t>
  </si>
  <si>
    <t>Desvio de Custo</t>
  </si>
  <si>
    <t>Custo Real - Orçamento Planeado.</t>
  </si>
  <si>
    <t>Desvio_Custo_AOA</t>
  </si>
  <si>
    <t>Cartão + barras</t>
  </si>
  <si>
    <t>Quanto menor, melhor</t>
  </si>
  <si>
    <t>Data de referência</t>
  </si>
  <si>
    <t>% Desvio de Custo</t>
  </si>
  <si>
    <t>(Custo Real - Orçamento) / Orçamento.</t>
  </si>
  <si>
    <t>Desvio_Custo_Pct</t>
  </si>
  <si>
    <t>KPI / gauge</t>
  </si>
  <si>
    <t>Ideal entre -5% e +5%</t>
  </si>
  <si>
    <t>1 obra</t>
  </si>
  <si>
    <t>Avanço Planeado</t>
  </si>
  <si>
    <t>Média ponderada do avanço planeado.</t>
  </si>
  <si>
    <t>Avanco_Planeado_Pct</t>
  </si>
  <si>
    <t>Linha</t>
  </si>
  <si>
    <t>Comparar com realizado</t>
  </si>
  <si>
    <t>Moeda</t>
  </si>
  <si>
    <t>AOA</t>
  </si>
  <si>
    <t>Avanço Real</t>
  </si>
  <si>
    <t>Média ponderada do avanço efetivo.</t>
  </si>
  <si>
    <t>Avanco_Real_Pct</t>
  </si>
  <si>
    <t>Linha / cartão</t>
  </si>
  <si>
    <t>≥ Planeado</t>
  </si>
  <si>
    <t>Observação</t>
  </si>
  <si>
    <t>Importar Dados_Obra no Power BI</t>
  </si>
  <si>
    <t>Desvio de Avanço</t>
  </si>
  <si>
    <t>Avanço Real - Avanço Planeado.</t>
  </si>
  <si>
    <t>Desvio_Avanco_pp</t>
  </si>
  <si>
    <t>KPI</t>
  </si>
  <si>
    <t>≥ 0</t>
  </si>
  <si>
    <t>Atividades Atrasadas</t>
  </si>
  <si>
    <t>Contagem de pacotes com atraso &gt; 0.</t>
  </si>
  <si>
    <t>Atraso_Dias</t>
  </si>
  <si>
    <t>0 ideal</t>
  </si>
  <si>
    <t>Produtividade</t>
  </si>
  <si>
    <t>Quantidade executada / Horas reais.</t>
  </si>
  <si>
    <t>Produtividade_Unid_Hora</t>
  </si>
  <si>
    <t>Barras por fase</t>
  </si>
  <si>
    <t>Comparar fases</t>
  </si>
  <si>
    <t>Custo por Unidade</t>
  </si>
  <si>
    <t>Custo real / Quantidade executada.</t>
  </si>
  <si>
    <t>Custo_por_Unidade_AOA</t>
  </si>
  <si>
    <t>Barras</t>
  </si>
  <si>
    <t>Comparar atividades</t>
  </si>
  <si>
    <t>Incidentes SST</t>
  </si>
  <si>
    <t>Total de incidentes de segurança.</t>
  </si>
  <si>
    <t>Incidentes_SST</t>
  </si>
  <si>
    <t>0</t>
  </si>
  <si>
    <t>Requisito</t>
  </si>
  <si>
    <t>1</t>
  </si>
  <si>
    <t>Importar a folha Dados_Obra e validar tipos de dados.</t>
  </si>
  <si>
    <t>2</t>
  </si>
  <si>
    <t>Criar medidas para Orçamento, Custo Real, Desvio de Custo e % Desvio.</t>
  </si>
  <si>
    <t>3</t>
  </si>
  <si>
    <t>Criar medidas de Avanço Planeado, Avanço Real e Desvio de Avanço.</t>
  </si>
  <si>
    <t>4</t>
  </si>
  <si>
    <t>Mostrar as 10 atividades com maior atraso.</t>
  </si>
  <si>
    <t>5</t>
  </si>
  <si>
    <t>Comparar custo real vs. orçamento por Fase.</t>
  </si>
  <si>
    <t>6</t>
  </si>
  <si>
    <t>Analisar produtividade por atividade e responsável.</t>
  </si>
  <si>
    <t>7</t>
  </si>
  <si>
    <t>Criar semáforo: Controlado, Atenção e Crítico.</t>
  </si>
  <si>
    <t>8</t>
  </si>
  <si>
    <t>Adicionar filtros por Fase, Status e Responsável.</t>
  </si>
  <si>
    <t>9</t>
  </si>
  <si>
    <t>Apresentar uma conclusão executiva com 3 ações corretivas.</t>
  </si>
  <si>
    <t>ID_Atividade</t>
  </si>
  <si>
    <t>Fase</t>
  </si>
  <si>
    <t>Atividade</t>
  </si>
  <si>
    <t>Responsavel</t>
  </si>
  <si>
    <t>Data_Inicio_Planeada</t>
  </si>
  <si>
    <t>Data_Fim_Planeada</t>
  </si>
  <si>
    <t>Data_Fim_Real</t>
  </si>
  <si>
    <t>Status</t>
  </si>
  <si>
    <t>Unidade</t>
  </si>
  <si>
    <t>Quantidade_Planeada</t>
  </si>
  <si>
    <t>Quantidade_Executada</t>
  </si>
  <si>
    <t>Horas_Planeadas</t>
  </si>
  <si>
    <t>Horas_Reais</t>
  </si>
  <si>
    <t>Trabalhadores_Medio</t>
  </si>
  <si>
    <t>Semaforo</t>
  </si>
  <si>
    <t>ATV-001</t>
  </si>
  <si>
    <t>Edifício Residencial T+3 — Viana</t>
  </si>
  <si>
    <t>Mobilização e Implantação</t>
  </si>
  <si>
    <t>Instalação do estaleiro — Setor 1 / Térreo</t>
  </si>
  <si>
    <t>Eng. Paulo António</t>
  </si>
  <si>
    <t>Atrasada</t>
  </si>
  <si>
    <t>un</t>
  </si>
  <si>
    <t>ATV-002</t>
  </si>
  <si>
    <t>Tapume e sinalização — Setor 2 / 1.º Piso</t>
  </si>
  <si>
    <t>Téc. Rosa Miguel</t>
  </si>
  <si>
    <t>ATV-003</t>
  </si>
  <si>
    <t>Locação topográfica — Setor 3 / 2.º Piso</t>
  </si>
  <si>
    <t>Téc. Mateus João</t>
  </si>
  <si>
    <t>ATV-004</t>
  </si>
  <si>
    <t>Instalação do estaleiro — Setor 4 / 3.º Piso</t>
  </si>
  <si>
    <t>Concluída</t>
  </si>
  <si>
    <t>ATV-005</t>
  </si>
  <si>
    <t>Tapume e sinalização — Setor 1 / Térreo</t>
  </si>
  <si>
    <t>Eng. Carlos Manuel</t>
  </si>
  <si>
    <t>ATV-006</t>
  </si>
  <si>
    <t>Locação topográfica — Setor 2 / 1.º Piso</t>
  </si>
  <si>
    <t>ATV-007</t>
  </si>
  <si>
    <t>Terraplenagem e Fundações</t>
  </si>
  <si>
    <t>Escavação — Setor 1 / Térreo</t>
  </si>
  <si>
    <t>Eng. Ana Domingos</t>
  </si>
  <si>
    <t>m3</t>
  </si>
  <si>
    <t>ATV-008</t>
  </si>
  <si>
    <t>Regularização do fundo — Setor 2 / 1.º Piso</t>
  </si>
  <si>
    <t>ATV-009</t>
  </si>
  <si>
    <t>Betão magro — Setor 3 / 2.º Piso</t>
  </si>
  <si>
    <t>ATV-010</t>
  </si>
  <si>
    <t>Armadura de sapatas — Setor 4 / 3.º Piso</t>
  </si>
  <si>
    <t>ATV-011</t>
  </si>
  <si>
    <t>Betonagem de sapatas — Setor 1 / Térreo</t>
  </si>
  <si>
    <t>ATV-012</t>
  </si>
  <si>
    <t>Vigas de fundação — Setor 2 / 1.º Piso</t>
  </si>
  <si>
    <t>ATV-013</t>
  </si>
  <si>
    <t>Escavação — Setor 3 / 2.º Piso</t>
  </si>
  <si>
    <t>ATV-014</t>
  </si>
  <si>
    <t>Regularização do fundo — Setor 4 / 3.º Piso</t>
  </si>
  <si>
    <t>ATV-015</t>
  </si>
  <si>
    <t>Betão magro — Setor 1 / Térreo</t>
  </si>
  <si>
    <t>ATV-016</t>
  </si>
  <si>
    <t>Armadura de sapatas — Setor 2 / 1.º Piso</t>
  </si>
  <si>
    <t>ATV-017</t>
  </si>
  <si>
    <t>Betonagem de sapatas — Setor 3 / 2.º Piso</t>
  </si>
  <si>
    <t>ATV-018</t>
  </si>
  <si>
    <t>Vigas de fundação — Setor 4 / 3.º Piso</t>
  </si>
  <si>
    <t>ATV-019</t>
  </si>
  <si>
    <t>ATV-020</t>
  </si>
  <si>
    <t>ATV-021</t>
  </si>
  <si>
    <t>ATV-022</t>
  </si>
  <si>
    <t>ATV-023</t>
  </si>
  <si>
    <t>ATV-024</t>
  </si>
  <si>
    <t>ATV-025</t>
  </si>
  <si>
    <t>ATV-026</t>
  </si>
  <si>
    <t>ATV-027</t>
  </si>
  <si>
    <t>ATV-028</t>
  </si>
  <si>
    <t>ATV-029</t>
  </si>
  <si>
    <t>ATV-030</t>
  </si>
  <si>
    <t>ATV-031</t>
  </si>
  <si>
    <t>Estrutura</t>
  </si>
  <si>
    <t>Pilares — Setor 1 / Térreo</t>
  </si>
  <si>
    <t>ATV-032</t>
  </si>
  <si>
    <t>Vigas — Setor 2 / 1.º Piso</t>
  </si>
  <si>
    <t>ATV-033</t>
  </si>
  <si>
    <t>Lajes — Setor 3 / 2.º Piso</t>
  </si>
  <si>
    <t>ATV-034</t>
  </si>
  <si>
    <t>Escadas — Setor 4 / 3.º Piso</t>
  </si>
  <si>
    <t>ATV-035</t>
  </si>
  <si>
    <t>Cofragem — Setor 1 / Térreo</t>
  </si>
  <si>
    <t>ATV-036</t>
  </si>
  <si>
    <t>Armadura — Setor 2 / 1.º Piso</t>
  </si>
  <si>
    <t>ATV-037</t>
  </si>
  <si>
    <t>Pilares — Setor 3 / 2.º Piso</t>
  </si>
  <si>
    <t>ATV-038</t>
  </si>
  <si>
    <t>Vigas — Setor 4 / 3.º Piso</t>
  </si>
  <si>
    <t>ATV-039</t>
  </si>
  <si>
    <t>Lajes — Setor 1 / Térreo</t>
  </si>
  <si>
    <t>ATV-040</t>
  </si>
  <si>
    <t>Escadas — Setor 2 / 1.º Piso</t>
  </si>
  <si>
    <t>ATV-041</t>
  </si>
  <si>
    <t>Cofragem — Setor 3 / 2.º Piso</t>
  </si>
  <si>
    <t>ATV-042</t>
  </si>
  <si>
    <t>Armadura — Setor 4 / 3.º Piso</t>
  </si>
  <si>
    <t>ATV-043</t>
  </si>
  <si>
    <t>ATV-044</t>
  </si>
  <si>
    <t>ATV-045</t>
  </si>
  <si>
    <t>ATV-046</t>
  </si>
  <si>
    <t>ATV-047</t>
  </si>
  <si>
    <t>ATV-048</t>
  </si>
  <si>
    <t>ATV-049</t>
  </si>
  <si>
    <t>ATV-050</t>
  </si>
  <si>
    <t>ATV-051</t>
  </si>
  <si>
    <t>ATV-052</t>
  </si>
  <si>
    <t>ATV-053</t>
  </si>
  <si>
    <t>ATV-054</t>
  </si>
  <si>
    <t>ATV-055</t>
  </si>
  <si>
    <t>ATV-056</t>
  </si>
  <si>
    <t>ATV-057</t>
  </si>
  <si>
    <t>ATV-058</t>
  </si>
  <si>
    <t>ATV-059</t>
  </si>
  <si>
    <t>ATV-060</t>
  </si>
  <si>
    <t>ATV-061</t>
  </si>
  <si>
    <t>ATV-062</t>
  </si>
  <si>
    <t>ATV-063</t>
  </si>
  <si>
    <t>ATV-064</t>
  </si>
  <si>
    <t>Alvenaria</t>
  </si>
  <si>
    <t>Alvenaria exterior — Setor 1 / Térreo</t>
  </si>
  <si>
    <t>m2</t>
  </si>
  <si>
    <t>ATV-065</t>
  </si>
  <si>
    <t>Alvenaria interior — Setor 2 / 1.º Piso</t>
  </si>
  <si>
    <t>ATV-066</t>
  </si>
  <si>
    <t>Vergas e contravergas — Setor 3 / 2.º Piso</t>
  </si>
  <si>
    <t>ATV-067</t>
  </si>
  <si>
    <t>Alvenaria exterior — Setor 4 / 3.º Piso</t>
  </si>
  <si>
    <t>ATV-068</t>
  </si>
  <si>
    <t>Alvenaria interior — Setor 1 / Térreo</t>
  </si>
  <si>
    <t>ATV-069</t>
  </si>
  <si>
    <t>Vergas e contravergas — Setor 2 / 1.º Piso</t>
  </si>
  <si>
    <t>ATV-070</t>
  </si>
  <si>
    <t>Alvenaria exterior — Setor 3 / 2.º Piso</t>
  </si>
  <si>
    <t>ATV-071</t>
  </si>
  <si>
    <t>Alvenaria interior — Setor 4 / 3.º Piso</t>
  </si>
  <si>
    <t>ATV-072</t>
  </si>
  <si>
    <t>Vergas e contravergas — Setor 1 / Térreo</t>
  </si>
  <si>
    <t>ATV-073</t>
  </si>
  <si>
    <t>Alvenaria exterior — Setor 2 / 1.º Piso</t>
  </si>
  <si>
    <t>ATV-074</t>
  </si>
  <si>
    <t>Alvenaria interior — Setor 3 / 2.º Piso</t>
  </si>
  <si>
    <t>ATV-075</t>
  </si>
  <si>
    <t>Vergas e contravergas — Setor 4 / 3.º Piso</t>
  </si>
  <si>
    <t>ATV-076</t>
  </si>
  <si>
    <t>ATV-077</t>
  </si>
  <si>
    <t>Instalações</t>
  </si>
  <si>
    <t>Tubagem hidráulica — Setor 1 / Térreo</t>
  </si>
  <si>
    <t>m</t>
  </si>
  <si>
    <t>ATV-078</t>
  </si>
  <si>
    <t>Esgotos — Setor 2 / 1.º Piso</t>
  </si>
  <si>
    <t>ATV-079</t>
  </si>
  <si>
    <t>Eletrodutos — Setor 3 / 2.º Piso</t>
  </si>
  <si>
    <t>ATV-080</t>
  </si>
  <si>
    <t>Quadros elétricos — Setor 4 / 3.º Piso</t>
  </si>
  <si>
    <t>ATV-081</t>
  </si>
  <si>
    <t>Cablagem — Setor 1 / Térreo</t>
  </si>
  <si>
    <t>ATV-082</t>
  </si>
  <si>
    <t>Tubagem hidráulica — Setor 2 / 1.º Piso</t>
  </si>
  <si>
    <t>ATV-083</t>
  </si>
  <si>
    <t>Esgotos — Setor 3 / 2.º Piso</t>
  </si>
  <si>
    <t>ATV-084</t>
  </si>
  <si>
    <t>Eletrodutos — Setor 4 / 3.º Piso</t>
  </si>
  <si>
    <t>ATV-085</t>
  </si>
  <si>
    <t>Quadros elétricos — Setor 1 / Térreo</t>
  </si>
  <si>
    <t>ATV-086</t>
  </si>
  <si>
    <t>Cablagem — Setor 2 / 1.º Piso</t>
  </si>
  <si>
    <t>ATV-087</t>
  </si>
  <si>
    <t>Tubagem hidráulica — Setor 3 / 2.º Piso</t>
  </si>
  <si>
    <t>ATV-088</t>
  </si>
  <si>
    <t>Esgotos — Setor 4 / 3.º Piso</t>
  </si>
  <si>
    <t>ATV-089</t>
  </si>
  <si>
    <t>Eletrodutos — Setor 1 / Térreo</t>
  </si>
  <si>
    <t>ATV-090</t>
  </si>
  <si>
    <t>Quadros elétricos — Setor 2 / 1.º Piso</t>
  </si>
  <si>
    <t>ATV-091</t>
  </si>
  <si>
    <t>Cablagem — Setor 3 / 2.º Piso</t>
  </si>
  <si>
    <t>ATV-092</t>
  </si>
  <si>
    <t>Tubagem hidráulica — Setor 4 / 3.º Piso</t>
  </si>
  <si>
    <t>ATV-093</t>
  </si>
  <si>
    <t>Revestimentos</t>
  </si>
  <si>
    <t>Reboco interno — Setor 1 / Térreo</t>
  </si>
  <si>
    <t>ATV-094</t>
  </si>
  <si>
    <t>Reboco externo — Setor 2 / 1.º Piso</t>
  </si>
  <si>
    <t>ATV-095</t>
  </si>
  <si>
    <t>Pavimento cerâmico — Setor 3 / 2.º Piso</t>
  </si>
  <si>
    <t>ATV-096</t>
  </si>
  <si>
    <t>Revestimento WC — Setor 4 / 3.º Piso</t>
  </si>
  <si>
    <t>ATV-097</t>
  </si>
  <si>
    <t>Teto falso — Setor 1 / Térreo</t>
  </si>
  <si>
    <t>ATV-098</t>
  </si>
  <si>
    <t>Reboco interno — Setor 2 / 1.º Piso</t>
  </si>
  <si>
    <t>ATV-099</t>
  </si>
  <si>
    <t>Reboco externo — Setor 3 / 2.º Piso</t>
  </si>
  <si>
    <t>ATV-100</t>
  </si>
  <si>
    <t>Pavimento cerâmico — Setor 4 / 3.º Piso</t>
  </si>
  <si>
    <t>ATV-101</t>
  </si>
  <si>
    <t>Revestimento WC — Setor 1 / Térreo</t>
  </si>
  <si>
    <t>ATV-102</t>
  </si>
  <si>
    <t>Teto falso — Setor 2 / 1.º Piso</t>
  </si>
  <si>
    <t>ATV-103</t>
  </si>
  <si>
    <t>Reboco interno — Setor 3 / 2.º Piso</t>
  </si>
  <si>
    <t>ATV-104</t>
  </si>
  <si>
    <t>Reboco externo — Setor 4 / 3.º Piso</t>
  </si>
  <si>
    <t>ATV-105</t>
  </si>
  <si>
    <t>Pavimento cerâmico — Setor 1 / Térreo</t>
  </si>
  <si>
    <t>ATV-106</t>
  </si>
  <si>
    <t>Revestimento WC — Setor 2 / 1.º Piso</t>
  </si>
  <si>
    <t>ATV-107</t>
  </si>
  <si>
    <t>Teto falso — Setor 3 / 2.º Piso</t>
  </si>
  <si>
    <t>ATV-108</t>
  </si>
  <si>
    <t>Reboco interno — Setor 4 / 3.º Piso</t>
  </si>
  <si>
    <t>ATV-109</t>
  </si>
  <si>
    <t>Reboco externo — Setor 1 / Térreo</t>
  </si>
  <si>
    <t>ATV-110</t>
  </si>
  <si>
    <t>Caixilharia e Carpintaria</t>
  </si>
  <si>
    <t>Portas — Setor 1 / Térreo</t>
  </si>
  <si>
    <t>ATV-111</t>
  </si>
  <si>
    <t>Janelas de alumínio — Setor 2 / 1.º Piso</t>
  </si>
  <si>
    <t>ATV-112</t>
  </si>
  <si>
    <t>Guarda-corpos — Setor 3 / 2.º Piso</t>
  </si>
  <si>
    <t>ATV-113</t>
  </si>
  <si>
    <t>Portas — Setor 4 / 3.º Piso</t>
  </si>
  <si>
    <t>ATV-114</t>
  </si>
  <si>
    <t>Janelas de alumínio — Setor 1 / Térreo</t>
  </si>
  <si>
    <t>ATV-115</t>
  </si>
  <si>
    <t>Guarda-corpos — Setor 2 / 1.º Piso</t>
  </si>
  <si>
    <t>ATV-116</t>
  </si>
  <si>
    <t>Portas — Setor 3 / 2.º Piso</t>
  </si>
  <si>
    <t>ATV-117</t>
  </si>
  <si>
    <t>Janelas de alumínio — Setor 4 / 3.º Piso</t>
  </si>
  <si>
    <t>ATV-118</t>
  </si>
  <si>
    <t>Pintura e Acabamentos</t>
  </si>
  <si>
    <t>Massa corrida — Setor 1 / Térreo</t>
  </si>
  <si>
    <t>ATV-119</t>
  </si>
  <si>
    <t>Pintura interior — Setor 2 / 1.º Piso</t>
  </si>
  <si>
    <t>ATV-120</t>
  </si>
  <si>
    <t>Pintura exterior — Setor 3 / 2.º Piso</t>
  </si>
  <si>
    <t>ATV-121</t>
  </si>
  <si>
    <t>Louças sanitárias — Setor 4 / 3.º Piso</t>
  </si>
  <si>
    <t>ATV-122</t>
  </si>
  <si>
    <t>ATV-123</t>
  </si>
  <si>
    <t>ATV-124</t>
  </si>
  <si>
    <t>ATV-125</t>
  </si>
  <si>
    <t>ATV-126</t>
  </si>
  <si>
    <t>ATV-127</t>
  </si>
  <si>
    <t>Arranjos Exteriores</t>
  </si>
  <si>
    <t>Passeios — Setor 1 / Térreo</t>
  </si>
  <si>
    <t>ATV-128</t>
  </si>
  <si>
    <t>Drenagem exterior — Setor 2 / 1.º Piso</t>
  </si>
  <si>
    <t>ATV-129</t>
  </si>
  <si>
    <t>Pavimentação do quintal — Setor 3 / 2.º Piso</t>
  </si>
  <si>
    <t>ATV-130</t>
  </si>
  <si>
    <t>Passeios — Setor 4 / 3.º Piso</t>
  </si>
  <si>
    <t>ATV-131</t>
  </si>
  <si>
    <t>Drenagem exterior — Setor 1 / Térreo</t>
  </si>
  <si>
    <t>ATV-132</t>
  </si>
  <si>
    <t>Pavimentação do quintal — Setor 2 / 1.º Piso</t>
  </si>
  <si>
    <t>PROJETO — POWER BI PARA ENGENHARIA CIVIL</t>
  </si>
  <si>
    <t>Desafios do formando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</si>
</sst>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0%"/>
    <numFmt numFmtId="166" formatCode="#,##0.0"/>
    <numFmt numFmtId="167" formatCode="0.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4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3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7" fontId="0" fillId="0" borderId="0" xfId="0" applyNumberFormat="1" applyFont="1" applyFill="1" applyBorder="1" applyAlignment="1"/>
    <xf numFmtId="0" fontId="2" fillId="6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ObraBasico" displayName="TabelaObraBasico" ref="A1:AA133" totalsRowShown="0">
  <tableColumns count="27">
    <tableColumn id="1" name="ID_Atividade"/>
    <tableColumn id="2" name="Projeto"/>
    <tableColumn id="3" name="Fase"/>
    <tableColumn id="4" name="Atividade"/>
    <tableColumn id="5" name="Responsavel"/>
    <tableColumn id="6" name="Data_Inicio_Planeada"/>
    <tableColumn id="7" name="Data_Fim_Planeada"/>
    <tableColumn id="8" name="Data_Fim_Real"/>
    <tableColumn id="9" name="Status"/>
    <tableColumn id="10" name="Unidade"/>
    <tableColumn id="11" name="Quantidade_Planeada"/>
    <tableColumn id="12" name="Quantidade_Executada"/>
    <tableColumn id="13" name="Avanco_Planeado_Pct"/>
    <tableColumn id="14" name="Avanco_Real_Pct"/>
    <tableColumn id="15" name="Orcamento_Planeado_AOA"/>
    <tableColumn id="16" name="Custo_Real_AOA"/>
    <tableColumn id="17" name="Horas_Planeadas"/>
    <tableColumn id="18" name="Horas_Reais"/>
    <tableColumn id="19" name="Trabalhadores_Medio"/>
    <tableColumn id="20" name="Incidentes_SST"/>
    <tableColumn id="21" name="Desvio_Custo_AOA"/>
    <tableColumn id="22" name="Desvio_Custo_Pct"/>
    <tableColumn id="23" name="Desvio_Avanco_pp"/>
    <tableColumn id="24" name="Atraso_Dias"/>
    <tableColumn id="25" name="Produtividade_Unid_Hora"/>
    <tableColumn id="26" name="Custo_por_Unidade_AOA"/>
    <tableColumn id="27" name="Semafo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C10" workbookViewId="0">
      <selection activeCell="D29" sqref="D29"/>
    </sheetView>
  </sheetViews>
  <sheetFormatPr defaultRowHeight="14.25"/>
  <cols>
    <col min="1" max="1" width="24" customWidth="1"/>
    <col min="2" max="2" width="48" customWidth="1"/>
    <col min="3" max="3" width="28" customWidth="1"/>
    <col min="4" max="5" width="24" customWidth="1"/>
    <col min="7" max="7" width="22" customWidth="1"/>
    <col min="8" max="8" width="30" customWidth="1"/>
  </cols>
  <sheetData>
    <row r="1" spans="1:8" ht="30" customHeight="1">
      <c r="A1" s="17" t="s">
        <v>365</v>
      </c>
      <c r="B1" s="18"/>
      <c r="C1" s="18"/>
      <c r="D1" s="18"/>
      <c r="E1" s="18"/>
      <c r="F1" s="18"/>
      <c r="G1" s="18"/>
      <c r="H1" s="18"/>
    </row>
    <row r="3" spans="1:8" ht="27.95" customHeight="1">
      <c r="A3" s="1" t="s">
        <v>0</v>
      </c>
      <c r="B3" s="1" t="s">
        <v>1</v>
      </c>
    </row>
    <row r="4" spans="1:8" ht="29.25">
      <c r="A4" s="2" t="s">
        <v>2</v>
      </c>
      <c r="B4" s="3" t="s">
        <v>3</v>
      </c>
    </row>
    <row r="5" spans="1:8" ht="15">
      <c r="A5" s="2" t="s">
        <v>4</v>
      </c>
      <c r="B5" s="3" t="s">
        <v>5</v>
      </c>
    </row>
    <row r="6" spans="1:8" ht="15">
      <c r="A6" s="2" t="s">
        <v>6</v>
      </c>
      <c r="B6" s="3" t="s">
        <v>7</v>
      </c>
    </row>
    <row r="7" spans="1:8" ht="29.25">
      <c r="A7" s="2" t="s">
        <v>8</v>
      </c>
      <c r="B7" s="3" t="s">
        <v>9</v>
      </c>
    </row>
    <row r="8" spans="1:8" ht="15">
      <c r="A8" s="2" t="s">
        <v>10</v>
      </c>
      <c r="B8" s="3" t="s">
        <v>11</v>
      </c>
    </row>
    <row r="9" spans="1:8" ht="15">
      <c r="A9" s="2" t="s">
        <v>12</v>
      </c>
      <c r="B9" s="3" t="s">
        <v>13</v>
      </c>
    </row>
    <row r="10" spans="1:8" ht="15">
      <c r="A10" s="2" t="s">
        <v>14</v>
      </c>
      <c r="B10" s="3" t="s">
        <v>15</v>
      </c>
    </row>
    <row r="11" spans="1:8" ht="15">
      <c r="A11" s="2" t="s">
        <v>16</v>
      </c>
      <c r="B11" s="3" t="s">
        <v>17</v>
      </c>
    </row>
    <row r="13" spans="1:8" ht="27.95" customHeigh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G13" s="15" t="s">
        <v>23</v>
      </c>
      <c r="H13" s="15" t="s">
        <v>24</v>
      </c>
    </row>
    <row r="14" spans="1:8" ht="29.25">
      <c r="A14" s="3" t="s">
        <v>25</v>
      </c>
      <c r="B14" s="3" t="s">
        <v>26</v>
      </c>
      <c r="C14" s="3" t="s">
        <v>27</v>
      </c>
      <c r="D14" s="3" t="s">
        <v>28</v>
      </c>
      <c r="E14" s="3" t="s">
        <v>29</v>
      </c>
      <c r="G14" s="2" t="s">
        <v>30</v>
      </c>
      <c r="H14" s="3">
        <v>132</v>
      </c>
    </row>
    <row r="15" spans="1:8" ht="15">
      <c r="A15" s="3" t="s">
        <v>31</v>
      </c>
      <c r="B15" s="3" t="s">
        <v>32</v>
      </c>
      <c r="C15" s="3" t="s">
        <v>33</v>
      </c>
      <c r="D15" s="3" t="s">
        <v>28</v>
      </c>
      <c r="E15" s="3" t="s">
        <v>34</v>
      </c>
      <c r="G15" s="2" t="s">
        <v>35</v>
      </c>
      <c r="H15" s="3">
        <v>9</v>
      </c>
    </row>
    <row r="16" spans="1:8" ht="15">
      <c r="A16" s="3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G16" s="2" t="s">
        <v>41</v>
      </c>
      <c r="H16" s="16">
        <v>46265</v>
      </c>
    </row>
    <row r="17" spans="1:8" ht="15">
      <c r="A17" s="3" t="s">
        <v>42</v>
      </c>
      <c r="B17" s="3" t="s">
        <v>43</v>
      </c>
      <c r="C17" s="3" t="s">
        <v>44</v>
      </c>
      <c r="D17" s="3" t="s">
        <v>45</v>
      </c>
      <c r="E17" s="3" t="s">
        <v>46</v>
      </c>
      <c r="G17" s="2" t="s">
        <v>4</v>
      </c>
      <c r="H17" s="3" t="s">
        <v>47</v>
      </c>
    </row>
    <row r="18" spans="1:8" ht="15">
      <c r="A18" s="3" t="s">
        <v>48</v>
      </c>
      <c r="B18" s="3" t="s">
        <v>49</v>
      </c>
      <c r="C18" s="3" t="s">
        <v>50</v>
      </c>
      <c r="D18" s="3" t="s">
        <v>51</v>
      </c>
      <c r="E18" s="3" t="s">
        <v>52</v>
      </c>
      <c r="G18" s="2" t="s">
        <v>53</v>
      </c>
      <c r="H18" s="3" t="s">
        <v>54</v>
      </c>
    </row>
    <row r="19" spans="1:8" ht="15">
      <c r="A19" s="3" t="s">
        <v>55</v>
      </c>
      <c r="B19" s="3" t="s">
        <v>56</v>
      </c>
      <c r="C19" s="3" t="s">
        <v>57</v>
      </c>
      <c r="D19" s="3" t="s">
        <v>58</v>
      </c>
      <c r="E19" s="3" t="s">
        <v>59</v>
      </c>
      <c r="G19" s="2" t="s">
        <v>60</v>
      </c>
      <c r="H19" s="3" t="s">
        <v>61</v>
      </c>
    </row>
    <row r="20" spans="1:8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66</v>
      </c>
    </row>
    <row r="21" spans="1:8">
      <c r="A21" s="3" t="s">
        <v>67</v>
      </c>
      <c r="B21" s="3" t="s">
        <v>68</v>
      </c>
      <c r="C21" s="3" t="s">
        <v>69</v>
      </c>
      <c r="D21" s="3" t="s">
        <v>28</v>
      </c>
      <c r="E21" s="3" t="s">
        <v>70</v>
      </c>
    </row>
    <row r="22" spans="1:8">
      <c r="A22" s="3" t="s">
        <v>71</v>
      </c>
      <c r="B22" s="3" t="s">
        <v>72</v>
      </c>
      <c r="C22" s="3" t="s">
        <v>73</v>
      </c>
      <c r="D22" s="3" t="s">
        <v>74</v>
      </c>
      <c r="E22" s="3" t="s">
        <v>75</v>
      </c>
    </row>
    <row r="23" spans="1:8">
      <c r="A23" s="3" t="s">
        <v>76</v>
      </c>
      <c r="B23" s="3" t="s">
        <v>77</v>
      </c>
      <c r="C23" s="3" t="s">
        <v>78</v>
      </c>
      <c r="D23" s="3" t="s">
        <v>79</v>
      </c>
      <c r="E23" s="3" t="s">
        <v>80</v>
      </c>
    </row>
    <row r="24" spans="1:8">
      <c r="A24" s="3" t="s">
        <v>81</v>
      </c>
      <c r="B24" s="3" t="s">
        <v>82</v>
      </c>
      <c r="C24" s="3" t="s">
        <v>83</v>
      </c>
      <c r="D24" s="3" t="s">
        <v>28</v>
      </c>
      <c r="E24" s="3" t="s">
        <v>84</v>
      </c>
    </row>
    <row r="27" spans="1:8" ht="27.95" customHeight="1">
      <c r="A27" s="5" t="s">
        <v>366</v>
      </c>
      <c r="B27" s="5" t="s">
        <v>85</v>
      </c>
    </row>
    <row r="28" spans="1:8">
      <c r="A28" s="6" t="s">
        <v>86</v>
      </c>
      <c r="B28" s="3" t="s">
        <v>87</v>
      </c>
    </row>
    <row r="29" spans="1:8" ht="28.5">
      <c r="A29" s="6" t="s">
        <v>88</v>
      </c>
      <c r="B29" s="3" t="s">
        <v>89</v>
      </c>
    </row>
    <row r="30" spans="1:8" ht="28.5">
      <c r="A30" s="6" t="s">
        <v>90</v>
      </c>
      <c r="B30" s="3" t="s">
        <v>91</v>
      </c>
    </row>
    <row r="31" spans="1:8">
      <c r="A31" s="6" t="s">
        <v>92</v>
      </c>
      <c r="B31" s="3" t="s">
        <v>93</v>
      </c>
    </row>
    <row r="32" spans="1:8">
      <c r="A32" s="6" t="s">
        <v>94</v>
      </c>
      <c r="B32" s="3" t="s">
        <v>95</v>
      </c>
    </row>
    <row r="33" spans="1:2">
      <c r="A33" s="6" t="s">
        <v>96</v>
      </c>
      <c r="B33" s="3" t="s">
        <v>97</v>
      </c>
    </row>
    <row r="34" spans="1:2">
      <c r="A34" s="6" t="s">
        <v>98</v>
      </c>
      <c r="B34" s="3" t="s">
        <v>99</v>
      </c>
    </row>
    <row r="35" spans="1:2">
      <c r="A35" s="6" t="s">
        <v>100</v>
      </c>
      <c r="B35" s="3" t="s">
        <v>101</v>
      </c>
    </row>
    <row r="36" spans="1:2" ht="28.5">
      <c r="A36" s="6" t="s">
        <v>102</v>
      </c>
      <c r="B36" s="3" t="s">
        <v>103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3"/>
  <sheetViews>
    <sheetView tabSelected="1" topLeftCell="C7" workbookViewId="0">
      <selection activeCell="X13" sqref="X13"/>
    </sheetView>
  </sheetViews>
  <sheetFormatPr defaultRowHeight="14.25"/>
  <cols>
    <col min="1" max="1" width="12" customWidth="1"/>
    <col min="2" max="2" width="30" customWidth="1"/>
    <col min="3" max="3" width="28" customWidth="1"/>
    <col min="4" max="4" width="38" customWidth="1"/>
    <col min="5" max="5" width="23" customWidth="1"/>
    <col min="6" max="8" width="16" customWidth="1"/>
    <col min="9" max="9" width="13" customWidth="1"/>
    <col min="10" max="10" width="10" customWidth="1"/>
    <col min="11" max="12" width="16" customWidth="1"/>
    <col min="13" max="13" width="17" customWidth="1"/>
    <col min="14" max="14" width="15" customWidth="1"/>
    <col min="15" max="15" width="20" customWidth="1"/>
    <col min="16" max="16" width="18" customWidth="1"/>
    <col min="17" max="17" width="15" customWidth="1"/>
    <col min="18" max="18" width="13" customWidth="1"/>
    <col min="19" max="19" width="17" customWidth="1"/>
    <col min="20" max="20" width="13" customWidth="1"/>
    <col min="21" max="21" width="18" customWidth="1"/>
    <col min="22" max="23" width="17" customWidth="1"/>
    <col min="24" max="24" width="13" customWidth="1"/>
    <col min="25" max="26" width="22" customWidth="1"/>
    <col min="27" max="27" width="14" customWidth="1"/>
  </cols>
  <sheetData>
    <row r="1" spans="1:27" ht="27.95" customHeight="1">
      <c r="A1" s="7" t="s">
        <v>104</v>
      </c>
      <c r="B1" s="7" t="s">
        <v>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114</v>
      </c>
      <c r="M1" s="7" t="s">
        <v>50</v>
      </c>
      <c r="N1" s="7" t="s">
        <v>57</v>
      </c>
      <c r="O1" s="7" t="s">
        <v>27</v>
      </c>
      <c r="P1" s="7" t="s">
        <v>33</v>
      </c>
      <c r="Q1" s="7" t="s">
        <v>115</v>
      </c>
      <c r="R1" s="7" t="s">
        <v>116</v>
      </c>
      <c r="S1" s="7" t="s">
        <v>117</v>
      </c>
      <c r="T1" s="7" t="s">
        <v>83</v>
      </c>
      <c r="U1" s="7" t="s">
        <v>38</v>
      </c>
      <c r="V1" s="7" t="s">
        <v>44</v>
      </c>
      <c r="W1" s="7" t="s">
        <v>64</v>
      </c>
      <c r="X1" s="7" t="s">
        <v>69</v>
      </c>
      <c r="Y1" s="7" t="s">
        <v>73</v>
      </c>
      <c r="Z1" s="7" t="s">
        <v>78</v>
      </c>
      <c r="AA1" s="7" t="s">
        <v>118</v>
      </c>
    </row>
    <row r="2" spans="1:27">
      <c r="A2" s="8" t="s">
        <v>119</v>
      </c>
      <c r="B2" s="8" t="s">
        <v>120</v>
      </c>
      <c r="C2" s="8" t="s">
        <v>121</v>
      </c>
      <c r="D2" s="8" t="s">
        <v>122</v>
      </c>
      <c r="E2" s="8" t="s">
        <v>123</v>
      </c>
      <c r="F2" s="9">
        <v>46087</v>
      </c>
      <c r="G2" s="9">
        <v>46101</v>
      </c>
      <c r="H2" s="9"/>
      <c r="I2" s="8" t="s">
        <v>124</v>
      </c>
      <c r="J2" s="8" t="s">
        <v>125</v>
      </c>
      <c r="K2" s="10">
        <v>21</v>
      </c>
      <c r="L2" s="10">
        <v>17</v>
      </c>
      <c r="M2" s="11">
        <v>1</v>
      </c>
      <c r="N2" s="11">
        <v>0.80969999999999998</v>
      </c>
      <c r="O2" s="12">
        <v>1950838</v>
      </c>
      <c r="P2" s="12">
        <v>1537092</v>
      </c>
      <c r="Q2" s="13">
        <v>34</v>
      </c>
      <c r="R2" s="13">
        <v>25.5</v>
      </c>
      <c r="S2" s="8">
        <v>15</v>
      </c>
      <c r="T2" s="8">
        <v>0</v>
      </c>
      <c r="U2" s="12">
        <f t="shared" ref="U2:U33" si="0">P2-O2</f>
        <v>-413746</v>
      </c>
      <c r="V2" s="11">
        <f t="shared" ref="V2:V33" si="1">IFERROR(U2/O2,0)</f>
        <v>-0.21208629317247255</v>
      </c>
      <c r="W2" s="11">
        <f t="shared" ref="W2:W33" si="2">N2-M2</f>
        <v>-0.19030000000000002</v>
      </c>
      <c r="X2" s="8">
        <f t="shared" ref="X2:X33" si="3">IF(H2&lt;&gt;"",MAX(0,H2-G2),MAX(0,DATE(2026,8,31)-G2))</f>
        <v>164</v>
      </c>
      <c r="Y2" s="14">
        <f t="shared" ref="Y2:Y33" si="4">IFERROR(L2/R2,0)</f>
        <v>0.66666666666666663</v>
      </c>
      <c r="Z2" s="12">
        <f t="shared" ref="Z2:Z33" si="5">IFERROR(P2/L2,0)</f>
        <v>90417.176470588238</v>
      </c>
      <c r="AA2" s="8" t="str">
        <f t="shared" ref="AA2:AA33" si="6">IF(V2&gt;0.1,"Crítico",IF(W2&lt;-0.1,"Atenção","Controlado"))</f>
        <v>Atenção</v>
      </c>
    </row>
    <row r="3" spans="1:27">
      <c r="A3" s="8" t="s">
        <v>126</v>
      </c>
      <c r="B3" s="8" t="s">
        <v>120</v>
      </c>
      <c r="C3" s="8" t="s">
        <v>121</v>
      </c>
      <c r="D3" s="8" t="s">
        <v>127</v>
      </c>
      <c r="E3" s="8" t="s">
        <v>128</v>
      </c>
      <c r="F3" s="9">
        <v>46087</v>
      </c>
      <c r="G3" s="9">
        <v>46092</v>
      </c>
      <c r="H3" s="9"/>
      <c r="I3" s="8" t="s">
        <v>124</v>
      </c>
      <c r="J3" s="8" t="s">
        <v>125</v>
      </c>
      <c r="K3" s="10">
        <v>8</v>
      </c>
      <c r="L3" s="10">
        <v>7.61</v>
      </c>
      <c r="M3" s="11">
        <v>1</v>
      </c>
      <c r="N3" s="11">
        <v>0.95120000000000005</v>
      </c>
      <c r="O3" s="12">
        <v>922847</v>
      </c>
      <c r="P3" s="12">
        <v>902829</v>
      </c>
      <c r="Q3" s="13">
        <v>16</v>
      </c>
      <c r="R3" s="13">
        <v>18.100000000000001</v>
      </c>
      <c r="S3" s="8">
        <v>9</v>
      </c>
      <c r="T3" s="8">
        <v>0</v>
      </c>
      <c r="U3" s="12">
        <f t="shared" si="0"/>
        <v>-20018</v>
      </c>
      <c r="V3" s="11">
        <f t="shared" si="1"/>
        <v>-2.1691569675146585E-2</v>
      </c>
      <c r="W3" s="11">
        <f t="shared" si="2"/>
        <v>-4.8799999999999955E-2</v>
      </c>
      <c r="X3" s="8">
        <f t="shared" si="3"/>
        <v>173</v>
      </c>
      <c r="Y3" s="14">
        <f t="shared" si="4"/>
        <v>0.42044198895027624</v>
      </c>
      <c r="Z3" s="12">
        <f t="shared" si="5"/>
        <v>118637.18791064389</v>
      </c>
      <c r="AA3" s="8" t="str">
        <f t="shared" si="6"/>
        <v>Controlado</v>
      </c>
    </row>
    <row r="4" spans="1:27">
      <c r="A4" s="8" t="s">
        <v>129</v>
      </c>
      <c r="B4" s="8" t="s">
        <v>120</v>
      </c>
      <c r="C4" s="8" t="s">
        <v>121</v>
      </c>
      <c r="D4" s="8" t="s">
        <v>130</v>
      </c>
      <c r="E4" s="8" t="s">
        <v>131</v>
      </c>
      <c r="F4" s="9">
        <v>46088</v>
      </c>
      <c r="G4" s="9">
        <v>46097</v>
      </c>
      <c r="H4" s="9"/>
      <c r="I4" s="8" t="s">
        <v>124</v>
      </c>
      <c r="J4" s="8" t="s">
        <v>125</v>
      </c>
      <c r="K4" s="10">
        <v>33</v>
      </c>
      <c r="L4" s="10">
        <v>31.49</v>
      </c>
      <c r="M4" s="11">
        <v>1</v>
      </c>
      <c r="N4" s="11">
        <v>0.95440000000000003</v>
      </c>
      <c r="O4" s="12">
        <v>4310791</v>
      </c>
      <c r="P4" s="12">
        <v>3918971</v>
      </c>
      <c r="Q4" s="13">
        <v>53.8</v>
      </c>
      <c r="R4" s="13">
        <v>57.7</v>
      </c>
      <c r="S4" s="8">
        <v>16</v>
      </c>
      <c r="T4" s="8">
        <v>0</v>
      </c>
      <c r="U4" s="12">
        <f t="shared" si="0"/>
        <v>-391820</v>
      </c>
      <c r="V4" s="11">
        <f t="shared" si="1"/>
        <v>-9.0892831501225652E-2</v>
      </c>
      <c r="W4" s="11">
        <f t="shared" si="2"/>
        <v>-4.5599999999999974E-2</v>
      </c>
      <c r="X4" s="8">
        <f t="shared" si="3"/>
        <v>168</v>
      </c>
      <c r="Y4" s="14">
        <f t="shared" si="4"/>
        <v>0.54575389948006925</v>
      </c>
      <c r="Z4" s="12">
        <f t="shared" si="5"/>
        <v>124451.2861225786</v>
      </c>
      <c r="AA4" s="8" t="str">
        <f t="shared" si="6"/>
        <v>Controlado</v>
      </c>
    </row>
    <row r="5" spans="1:27">
      <c r="A5" s="8" t="s">
        <v>132</v>
      </c>
      <c r="B5" s="8" t="s">
        <v>120</v>
      </c>
      <c r="C5" s="8" t="s">
        <v>121</v>
      </c>
      <c r="D5" s="8" t="s">
        <v>133</v>
      </c>
      <c r="E5" s="8" t="s">
        <v>123</v>
      </c>
      <c r="F5" s="9">
        <v>46088</v>
      </c>
      <c r="G5" s="9">
        <v>46094</v>
      </c>
      <c r="H5" s="9">
        <v>46104</v>
      </c>
      <c r="I5" s="8" t="s">
        <v>134</v>
      </c>
      <c r="J5" s="8" t="s">
        <v>125</v>
      </c>
      <c r="K5" s="10">
        <v>16</v>
      </c>
      <c r="L5" s="10">
        <v>16</v>
      </c>
      <c r="M5" s="11">
        <v>1</v>
      </c>
      <c r="N5" s="11">
        <v>1</v>
      </c>
      <c r="O5" s="12">
        <v>2039797</v>
      </c>
      <c r="P5" s="12">
        <v>2276368</v>
      </c>
      <c r="Q5" s="13">
        <v>20.2</v>
      </c>
      <c r="R5" s="13">
        <v>22.9</v>
      </c>
      <c r="S5" s="8">
        <v>18</v>
      </c>
      <c r="T5" s="8">
        <v>0</v>
      </c>
      <c r="U5" s="12">
        <f t="shared" si="0"/>
        <v>236571</v>
      </c>
      <c r="V5" s="11">
        <f t="shared" si="1"/>
        <v>0.11597771739050504</v>
      </c>
      <c r="W5" s="11">
        <f t="shared" si="2"/>
        <v>0</v>
      </c>
      <c r="X5" s="8">
        <f t="shared" si="3"/>
        <v>10</v>
      </c>
      <c r="Y5" s="14">
        <f t="shared" si="4"/>
        <v>0.6986899563318778</v>
      </c>
      <c r="Z5" s="12">
        <f t="shared" si="5"/>
        <v>142273</v>
      </c>
      <c r="AA5" s="8" t="str">
        <f t="shared" si="6"/>
        <v>Crítico</v>
      </c>
    </row>
    <row r="6" spans="1:27">
      <c r="A6" s="8" t="s">
        <v>135</v>
      </c>
      <c r="B6" s="8" t="s">
        <v>120</v>
      </c>
      <c r="C6" s="8" t="s">
        <v>121</v>
      </c>
      <c r="D6" s="8" t="s">
        <v>136</v>
      </c>
      <c r="E6" s="8" t="s">
        <v>137</v>
      </c>
      <c r="F6" s="9">
        <v>46087</v>
      </c>
      <c r="G6" s="9">
        <v>46098</v>
      </c>
      <c r="H6" s="9"/>
      <c r="I6" s="8" t="s">
        <v>124</v>
      </c>
      <c r="J6" s="8" t="s">
        <v>125</v>
      </c>
      <c r="K6" s="10">
        <v>21</v>
      </c>
      <c r="L6" s="10">
        <v>18.440000000000001</v>
      </c>
      <c r="M6" s="11">
        <v>1</v>
      </c>
      <c r="N6" s="11">
        <v>0.87829999999999997</v>
      </c>
      <c r="O6" s="12">
        <v>4372170</v>
      </c>
      <c r="P6" s="12">
        <v>3907236</v>
      </c>
      <c r="Q6" s="13">
        <v>31.6</v>
      </c>
      <c r="R6" s="13">
        <v>33.6</v>
      </c>
      <c r="S6" s="8">
        <v>13</v>
      </c>
      <c r="T6" s="8">
        <v>0</v>
      </c>
      <c r="U6" s="12">
        <f t="shared" si="0"/>
        <v>-464934</v>
      </c>
      <c r="V6" s="11">
        <f t="shared" si="1"/>
        <v>-0.10633941498157666</v>
      </c>
      <c r="W6" s="11">
        <f t="shared" si="2"/>
        <v>-0.12170000000000003</v>
      </c>
      <c r="X6" s="8">
        <f t="shared" si="3"/>
        <v>167</v>
      </c>
      <c r="Y6" s="14">
        <f t="shared" si="4"/>
        <v>0.54880952380952386</v>
      </c>
      <c r="Z6" s="12">
        <f t="shared" si="5"/>
        <v>211889.15401301516</v>
      </c>
      <c r="AA6" s="8" t="str">
        <f t="shared" si="6"/>
        <v>Atenção</v>
      </c>
    </row>
    <row r="7" spans="1:27">
      <c r="A7" s="8" t="s">
        <v>138</v>
      </c>
      <c r="B7" s="8" t="s">
        <v>120</v>
      </c>
      <c r="C7" s="8" t="s">
        <v>121</v>
      </c>
      <c r="D7" s="8" t="s">
        <v>139</v>
      </c>
      <c r="E7" s="8" t="s">
        <v>128</v>
      </c>
      <c r="F7" s="9">
        <v>46090</v>
      </c>
      <c r="G7" s="9">
        <v>46105</v>
      </c>
      <c r="H7" s="9">
        <v>46106</v>
      </c>
      <c r="I7" s="8" t="s">
        <v>134</v>
      </c>
      <c r="J7" s="8" t="s">
        <v>125</v>
      </c>
      <c r="K7" s="10">
        <v>5</v>
      </c>
      <c r="L7" s="10">
        <v>5</v>
      </c>
      <c r="M7" s="11">
        <v>1</v>
      </c>
      <c r="N7" s="11">
        <v>1</v>
      </c>
      <c r="O7" s="12">
        <v>1901806</v>
      </c>
      <c r="P7" s="12">
        <v>1998843</v>
      </c>
      <c r="Q7" s="13">
        <v>16</v>
      </c>
      <c r="R7" s="13">
        <v>18.8</v>
      </c>
      <c r="S7" s="8">
        <v>17</v>
      </c>
      <c r="T7" s="8">
        <v>0</v>
      </c>
      <c r="U7" s="12">
        <f t="shared" si="0"/>
        <v>97037</v>
      </c>
      <c r="V7" s="11">
        <f t="shared" si="1"/>
        <v>5.1023605982944635E-2</v>
      </c>
      <c r="W7" s="11">
        <f t="shared" si="2"/>
        <v>0</v>
      </c>
      <c r="X7" s="8">
        <f t="shared" si="3"/>
        <v>1</v>
      </c>
      <c r="Y7" s="14">
        <f t="shared" si="4"/>
        <v>0.26595744680851063</v>
      </c>
      <c r="Z7" s="12">
        <f t="shared" si="5"/>
        <v>399768.6</v>
      </c>
      <c r="AA7" s="8" t="str">
        <f t="shared" si="6"/>
        <v>Controlado</v>
      </c>
    </row>
    <row r="8" spans="1:27">
      <c r="A8" s="8" t="s">
        <v>140</v>
      </c>
      <c r="B8" s="8" t="s">
        <v>120</v>
      </c>
      <c r="C8" s="8" t="s">
        <v>141</v>
      </c>
      <c r="D8" s="8" t="s">
        <v>142</v>
      </c>
      <c r="E8" s="8" t="s">
        <v>143</v>
      </c>
      <c r="F8" s="9">
        <v>46092</v>
      </c>
      <c r="G8" s="9">
        <v>46108</v>
      </c>
      <c r="H8" s="9"/>
      <c r="I8" s="8" t="s">
        <v>124</v>
      </c>
      <c r="J8" s="8" t="s">
        <v>144</v>
      </c>
      <c r="K8" s="10">
        <v>22</v>
      </c>
      <c r="L8" s="10">
        <v>21.34</v>
      </c>
      <c r="M8" s="11">
        <v>1</v>
      </c>
      <c r="N8" s="11">
        <v>0.97019999999999995</v>
      </c>
      <c r="O8" s="12">
        <v>1705160</v>
      </c>
      <c r="P8" s="12">
        <v>1552354</v>
      </c>
      <c r="Q8" s="13">
        <v>55.2</v>
      </c>
      <c r="R8" s="13">
        <v>64</v>
      </c>
      <c r="S8" s="8">
        <v>7</v>
      </c>
      <c r="T8" s="8">
        <v>0</v>
      </c>
      <c r="U8" s="12">
        <f t="shared" si="0"/>
        <v>-152806</v>
      </c>
      <c r="V8" s="11">
        <f t="shared" si="1"/>
        <v>-8.96138778765629E-2</v>
      </c>
      <c r="W8" s="11">
        <f t="shared" si="2"/>
        <v>-2.9800000000000049E-2</v>
      </c>
      <c r="X8" s="8">
        <f t="shared" si="3"/>
        <v>157</v>
      </c>
      <c r="Y8" s="14">
        <f t="shared" si="4"/>
        <v>0.3334375</v>
      </c>
      <c r="Z8" s="12">
        <f t="shared" si="5"/>
        <v>72743.861293345835</v>
      </c>
      <c r="AA8" s="8" t="str">
        <f t="shared" si="6"/>
        <v>Controlado</v>
      </c>
    </row>
    <row r="9" spans="1:27">
      <c r="A9" s="8" t="s">
        <v>145</v>
      </c>
      <c r="B9" s="8" t="s">
        <v>120</v>
      </c>
      <c r="C9" s="8" t="s">
        <v>141</v>
      </c>
      <c r="D9" s="8" t="s">
        <v>146</v>
      </c>
      <c r="E9" s="8" t="s">
        <v>131</v>
      </c>
      <c r="F9" s="9">
        <v>46094</v>
      </c>
      <c r="G9" s="9">
        <v>46102</v>
      </c>
      <c r="H9" s="9"/>
      <c r="I9" s="8" t="s">
        <v>124</v>
      </c>
      <c r="J9" s="8" t="s">
        <v>144</v>
      </c>
      <c r="K9" s="10">
        <v>117</v>
      </c>
      <c r="L9" s="10">
        <v>93.7</v>
      </c>
      <c r="M9" s="11">
        <v>1</v>
      </c>
      <c r="N9" s="11">
        <v>0.80089999999999995</v>
      </c>
      <c r="O9" s="12">
        <v>12767132</v>
      </c>
      <c r="P9" s="12">
        <v>11170423</v>
      </c>
      <c r="Q9" s="13">
        <v>289.10000000000002</v>
      </c>
      <c r="R9" s="13">
        <v>235.9</v>
      </c>
      <c r="S9" s="8">
        <v>14</v>
      </c>
      <c r="T9" s="8">
        <v>0</v>
      </c>
      <c r="U9" s="12">
        <f t="shared" si="0"/>
        <v>-1596709</v>
      </c>
      <c r="V9" s="11">
        <f t="shared" si="1"/>
        <v>-0.12506403160866514</v>
      </c>
      <c r="W9" s="11">
        <f t="shared" si="2"/>
        <v>-0.19910000000000005</v>
      </c>
      <c r="X9" s="8">
        <f t="shared" si="3"/>
        <v>163</v>
      </c>
      <c r="Y9" s="14">
        <f t="shared" si="4"/>
        <v>0.39720220432386605</v>
      </c>
      <c r="Z9" s="12">
        <f t="shared" si="5"/>
        <v>119214.75987193169</v>
      </c>
      <c r="AA9" s="8" t="str">
        <f t="shared" si="6"/>
        <v>Atenção</v>
      </c>
    </row>
    <row r="10" spans="1:27">
      <c r="A10" s="8" t="s">
        <v>147</v>
      </c>
      <c r="B10" s="8" t="s">
        <v>120</v>
      </c>
      <c r="C10" s="8" t="s">
        <v>141</v>
      </c>
      <c r="D10" s="8" t="s">
        <v>148</v>
      </c>
      <c r="E10" s="8" t="s">
        <v>131</v>
      </c>
      <c r="F10" s="9">
        <v>46092</v>
      </c>
      <c r="G10" s="9">
        <v>46107</v>
      </c>
      <c r="H10" s="9"/>
      <c r="I10" s="8" t="s">
        <v>124</v>
      </c>
      <c r="J10" s="8" t="s">
        <v>144</v>
      </c>
      <c r="K10" s="10">
        <v>100</v>
      </c>
      <c r="L10" s="10">
        <v>79.930000000000007</v>
      </c>
      <c r="M10" s="11">
        <v>1</v>
      </c>
      <c r="N10" s="11">
        <v>0.79930000000000001</v>
      </c>
      <c r="O10" s="12">
        <v>13852525</v>
      </c>
      <c r="P10" s="12">
        <v>11761655</v>
      </c>
      <c r="Q10" s="13">
        <v>219.4</v>
      </c>
      <c r="R10" s="13">
        <v>165.7</v>
      </c>
      <c r="S10" s="8">
        <v>12</v>
      </c>
      <c r="T10" s="8">
        <v>0</v>
      </c>
      <c r="U10" s="12">
        <f t="shared" si="0"/>
        <v>-2090870</v>
      </c>
      <c r="V10" s="11">
        <f t="shared" si="1"/>
        <v>-0.15093782541450024</v>
      </c>
      <c r="W10" s="11">
        <f t="shared" si="2"/>
        <v>-0.20069999999999999</v>
      </c>
      <c r="X10" s="8">
        <f t="shared" si="3"/>
        <v>158</v>
      </c>
      <c r="Y10" s="14">
        <f t="shared" si="4"/>
        <v>0.48237779118889568</v>
      </c>
      <c r="Z10" s="12">
        <f t="shared" si="5"/>
        <v>147149.443262855</v>
      </c>
      <c r="AA10" s="8" t="str">
        <f t="shared" si="6"/>
        <v>Atenção</v>
      </c>
    </row>
    <row r="11" spans="1:27">
      <c r="A11" s="8" t="s">
        <v>149</v>
      </c>
      <c r="B11" s="8" t="s">
        <v>120</v>
      </c>
      <c r="C11" s="8" t="s">
        <v>141</v>
      </c>
      <c r="D11" s="8" t="s">
        <v>150</v>
      </c>
      <c r="E11" s="8" t="s">
        <v>137</v>
      </c>
      <c r="F11" s="9">
        <v>46094</v>
      </c>
      <c r="G11" s="9">
        <v>46103</v>
      </c>
      <c r="H11" s="9">
        <v>46113</v>
      </c>
      <c r="I11" s="8" t="s">
        <v>134</v>
      </c>
      <c r="J11" s="8" t="s">
        <v>144</v>
      </c>
      <c r="K11" s="10">
        <v>55</v>
      </c>
      <c r="L11" s="10">
        <v>55</v>
      </c>
      <c r="M11" s="11">
        <v>1</v>
      </c>
      <c r="N11" s="11">
        <v>1</v>
      </c>
      <c r="O11" s="12">
        <v>8477067</v>
      </c>
      <c r="P11" s="12">
        <v>8132905</v>
      </c>
      <c r="Q11" s="13">
        <v>86.3</v>
      </c>
      <c r="R11" s="13">
        <v>103.7</v>
      </c>
      <c r="S11" s="8">
        <v>13</v>
      </c>
      <c r="T11" s="8">
        <v>0</v>
      </c>
      <c r="U11" s="12">
        <f t="shared" si="0"/>
        <v>-344162</v>
      </c>
      <c r="V11" s="11">
        <f t="shared" si="1"/>
        <v>-4.0599183656328301E-2</v>
      </c>
      <c r="W11" s="11">
        <f t="shared" si="2"/>
        <v>0</v>
      </c>
      <c r="X11" s="8">
        <f t="shared" si="3"/>
        <v>10</v>
      </c>
      <c r="Y11" s="14">
        <f t="shared" si="4"/>
        <v>0.53037608486017351</v>
      </c>
      <c r="Z11" s="12">
        <f t="shared" si="5"/>
        <v>147871</v>
      </c>
      <c r="AA11" s="8" t="str">
        <f t="shared" si="6"/>
        <v>Controlado</v>
      </c>
    </row>
    <row r="12" spans="1:27">
      <c r="A12" s="8" t="s">
        <v>151</v>
      </c>
      <c r="B12" s="8" t="s">
        <v>120</v>
      </c>
      <c r="C12" s="8" t="s">
        <v>141</v>
      </c>
      <c r="D12" s="8" t="s">
        <v>152</v>
      </c>
      <c r="E12" s="8" t="s">
        <v>143</v>
      </c>
      <c r="F12" s="9">
        <v>46098</v>
      </c>
      <c r="G12" s="9">
        <v>46112</v>
      </c>
      <c r="H12" s="9"/>
      <c r="I12" s="8" t="s">
        <v>124</v>
      </c>
      <c r="J12" s="8" t="s">
        <v>144</v>
      </c>
      <c r="K12" s="10">
        <v>80</v>
      </c>
      <c r="L12" s="10">
        <v>69.58</v>
      </c>
      <c r="M12" s="11">
        <v>1</v>
      </c>
      <c r="N12" s="11">
        <v>0.86970000000000003</v>
      </c>
      <c r="O12" s="12">
        <v>12617493</v>
      </c>
      <c r="P12" s="12">
        <v>10833521</v>
      </c>
      <c r="Q12" s="13">
        <v>158.4</v>
      </c>
      <c r="R12" s="13">
        <v>152.1</v>
      </c>
      <c r="S12" s="8">
        <v>17</v>
      </c>
      <c r="T12" s="8">
        <v>0</v>
      </c>
      <c r="U12" s="12">
        <f t="shared" si="0"/>
        <v>-1783972</v>
      </c>
      <c r="V12" s="11">
        <f t="shared" si="1"/>
        <v>-0.1413887846024563</v>
      </c>
      <c r="W12" s="11">
        <f t="shared" si="2"/>
        <v>-0.13029999999999997</v>
      </c>
      <c r="X12" s="8">
        <f t="shared" si="3"/>
        <v>153</v>
      </c>
      <c r="Y12" s="14">
        <f t="shared" si="4"/>
        <v>0.45746219592373438</v>
      </c>
      <c r="Z12" s="12">
        <f t="shared" si="5"/>
        <v>155698.77838459329</v>
      </c>
      <c r="AA12" s="8" t="str">
        <f t="shared" si="6"/>
        <v>Atenção</v>
      </c>
    </row>
    <row r="13" spans="1:27">
      <c r="A13" s="8" t="s">
        <v>153</v>
      </c>
      <c r="B13" s="8" t="s">
        <v>120</v>
      </c>
      <c r="C13" s="8" t="s">
        <v>141</v>
      </c>
      <c r="D13" s="8" t="s">
        <v>154</v>
      </c>
      <c r="E13" s="8" t="s">
        <v>128</v>
      </c>
      <c r="F13" s="9">
        <v>46100</v>
      </c>
      <c r="G13" s="9">
        <v>46107</v>
      </c>
      <c r="H13" s="9"/>
      <c r="I13" s="8" t="s">
        <v>124</v>
      </c>
      <c r="J13" s="8" t="s">
        <v>144</v>
      </c>
      <c r="K13" s="10">
        <v>75</v>
      </c>
      <c r="L13" s="10">
        <v>67.69</v>
      </c>
      <c r="M13" s="11">
        <v>1</v>
      </c>
      <c r="N13" s="11">
        <v>0.90249999999999997</v>
      </c>
      <c r="O13" s="12">
        <v>10516291</v>
      </c>
      <c r="P13" s="12">
        <v>9259038</v>
      </c>
      <c r="Q13" s="13">
        <v>188.8</v>
      </c>
      <c r="R13" s="13">
        <v>196.7</v>
      </c>
      <c r="S13" s="8">
        <v>7</v>
      </c>
      <c r="T13" s="8">
        <v>0</v>
      </c>
      <c r="U13" s="12">
        <f t="shared" si="0"/>
        <v>-1257253</v>
      </c>
      <c r="V13" s="11">
        <f t="shared" si="1"/>
        <v>-0.11955289179426473</v>
      </c>
      <c r="W13" s="11">
        <f t="shared" si="2"/>
        <v>-9.7500000000000031E-2</v>
      </c>
      <c r="X13" s="8">
        <f t="shared" si="3"/>
        <v>158</v>
      </c>
      <c r="Y13" s="14">
        <f t="shared" si="4"/>
        <v>0.34412811387900355</v>
      </c>
      <c r="Z13" s="12">
        <f t="shared" si="5"/>
        <v>136785.90633771606</v>
      </c>
      <c r="AA13" s="8" t="str">
        <f t="shared" si="6"/>
        <v>Controlado</v>
      </c>
    </row>
    <row r="14" spans="1:27">
      <c r="A14" s="8" t="s">
        <v>155</v>
      </c>
      <c r="B14" s="8" t="s">
        <v>120</v>
      </c>
      <c r="C14" s="8" t="s">
        <v>141</v>
      </c>
      <c r="D14" s="8" t="s">
        <v>156</v>
      </c>
      <c r="E14" s="8" t="s">
        <v>137</v>
      </c>
      <c r="F14" s="9">
        <v>46100</v>
      </c>
      <c r="G14" s="9">
        <v>46104</v>
      </c>
      <c r="H14" s="9"/>
      <c r="I14" s="8" t="s">
        <v>124</v>
      </c>
      <c r="J14" s="8" t="s">
        <v>144</v>
      </c>
      <c r="K14" s="10">
        <v>68</v>
      </c>
      <c r="L14" s="10">
        <v>66.03</v>
      </c>
      <c r="M14" s="11">
        <v>1</v>
      </c>
      <c r="N14" s="11">
        <v>0.97109999999999996</v>
      </c>
      <c r="O14" s="12">
        <v>9762294</v>
      </c>
      <c r="P14" s="12">
        <v>9246942</v>
      </c>
      <c r="Q14" s="13">
        <v>92</v>
      </c>
      <c r="R14" s="13">
        <v>87.6</v>
      </c>
      <c r="S14" s="8">
        <v>16</v>
      </c>
      <c r="T14" s="8">
        <v>0</v>
      </c>
      <c r="U14" s="12">
        <f t="shared" si="0"/>
        <v>-515352</v>
      </c>
      <c r="V14" s="11">
        <f t="shared" si="1"/>
        <v>-5.2790051190836906E-2</v>
      </c>
      <c r="W14" s="11">
        <f t="shared" si="2"/>
        <v>-2.8900000000000037E-2</v>
      </c>
      <c r="X14" s="8">
        <f t="shared" si="3"/>
        <v>161</v>
      </c>
      <c r="Y14" s="14">
        <f t="shared" si="4"/>
        <v>0.75376712328767126</v>
      </c>
      <c r="Z14" s="12">
        <f t="shared" si="5"/>
        <v>140041.52657882779</v>
      </c>
      <c r="AA14" s="8" t="str">
        <f t="shared" si="6"/>
        <v>Controlado</v>
      </c>
    </row>
    <row r="15" spans="1:27">
      <c r="A15" s="8" t="s">
        <v>157</v>
      </c>
      <c r="B15" s="8" t="s">
        <v>120</v>
      </c>
      <c r="C15" s="8" t="s">
        <v>141</v>
      </c>
      <c r="D15" s="8" t="s">
        <v>158</v>
      </c>
      <c r="E15" s="8" t="s">
        <v>131</v>
      </c>
      <c r="F15" s="9">
        <v>46101</v>
      </c>
      <c r="G15" s="9">
        <v>46108</v>
      </c>
      <c r="H15" s="9">
        <v>46109</v>
      </c>
      <c r="I15" s="8" t="s">
        <v>134</v>
      </c>
      <c r="J15" s="8" t="s">
        <v>144</v>
      </c>
      <c r="K15" s="10">
        <v>67</v>
      </c>
      <c r="L15" s="10">
        <v>67</v>
      </c>
      <c r="M15" s="11">
        <v>1</v>
      </c>
      <c r="N15" s="11">
        <v>1</v>
      </c>
      <c r="O15" s="12">
        <v>10951720</v>
      </c>
      <c r="P15" s="12">
        <v>11743046</v>
      </c>
      <c r="Q15" s="13">
        <v>166.7</v>
      </c>
      <c r="R15" s="13">
        <v>199.3</v>
      </c>
      <c r="S15" s="8">
        <v>6</v>
      </c>
      <c r="T15" s="8">
        <v>0</v>
      </c>
      <c r="U15" s="12">
        <f t="shared" si="0"/>
        <v>791326</v>
      </c>
      <c r="V15" s="11">
        <f t="shared" si="1"/>
        <v>7.2255864832190736E-2</v>
      </c>
      <c r="W15" s="11">
        <f t="shared" si="2"/>
        <v>0</v>
      </c>
      <c r="X15" s="8">
        <f t="shared" si="3"/>
        <v>1</v>
      </c>
      <c r="Y15" s="14">
        <f t="shared" si="4"/>
        <v>0.33617661816357247</v>
      </c>
      <c r="Z15" s="12">
        <f t="shared" si="5"/>
        <v>175269.3432835821</v>
      </c>
      <c r="AA15" s="8" t="str">
        <f t="shared" si="6"/>
        <v>Controlado</v>
      </c>
    </row>
    <row r="16" spans="1:27">
      <c r="A16" s="8" t="s">
        <v>159</v>
      </c>
      <c r="B16" s="8" t="s">
        <v>120</v>
      </c>
      <c r="C16" s="8" t="s">
        <v>141</v>
      </c>
      <c r="D16" s="8" t="s">
        <v>160</v>
      </c>
      <c r="E16" s="8" t="s">
        <v>131</v>
      </c>
      <c r="F16" s="9">
        <v>46104</v>
      </c>
      <c r="G16" s="9">
        <v>46112</v>
      </c>
      <c r="H16" s="9"/>
      <c r="I16" s="8" t="s">
        <v>124</v>
      </c>
      <c r="J16" s="8" t="s">
        <v>144</v>
      </c>
      <c r="K16" s="10">
        <v>58</v>
      </c>
      <c r="L16" s="10">
        <v>45.36</v>
      </c>
      <c r="M16" s="11">
        <v>1</v>
      </c>
      <c r="N16" s="11">
        <v>0.78210000000000002</v>
      </c>
      <c r="O16" s="12">
        <v>8355407</v>
      </c>
      <c r="P16" s="12">
        <v>6438362</v>
      </c>
      <c r="Q16" s="13">
        <v>107.5</v>
      </c>
      <c r="R16" s="13">
        <v>90.3</v>
      </c>
      <c r="S16" s="8">
        <v>7</v>
      </c>
      <c r="T16" s="8">
        <v>0</v>
      </c>
      <c r="U16" s="12">
        <f t="shared" si="0"/>
        <v>-1917045</v>
      </c>
      <c r="V16" s="11">
        <f t="shared" si="1"/>
        <v>-0.2294376563583318</v>
      </c>
      <c r="W16" s="11">
        <f t="shared" si="2"/>
        <v>-0.21789999999999998</v>
      </c>
      <c r="X16" s="8">
        <f t="shared" si="3"/>
        <v>153</v>
      </c>
      <c r="Y16" s="14">
        <f t="shared" si="4"/>
        <v>0.50232558139534889</v>
      </c>
      <c r="Z16" s="12">
        <f t="shared" si="5"/>
        <v>141939.19753086418</v>
      </c>
      <c r="AA16" s="8" t="str">
        <f t="shared" si="6"/>
        <v>Atenção</v>
      </c>
    </row>
    <row r="17" spans="1:27">
      <c r="A17" s="8" t="s">
        <v>161</v>
      </c>
      <c r="B17" s="8" t="s">
        <v>120</v>
      </c>
      <c r="C17" s="8" t="s">
        <v>141</v>
      </c>
      <c r="D17" s="8" t="s">
        <v>162</v>
      </c>
      <c r="E17" s="8" t="s">
        <v>143</v>
      </c>
      <c r="F17" s="9">
        <v>46102</v>
      </c>
      <c r="G17" s="9">
        <v>46109</v>
      </c>
      <c r="H17" s="9"/>
      <c r="I17" s="8" t="s">
        <v>124</v>
      </c>
      <c r="J17" s="8" t="s">
        <v>144</v>
      </c>
      <c r="K17" s="10">
        <v>108</v>
      </c>
      <c r="L17" s="10">
        <v>94.12</v>
      </c>
      <c r="M17" s="11">
        <v>1</v>
      </c>
      <c r="N17" s="11">
        <v>0.87150000000000005</v>
      </c>
      <c r="O17" s="12">
        <v>7703316</v>
      </c>
      <c r="P17" s="12">
        <v>6686817</v>
      </c>
      <c r="Q17" s="13">
        <v>169.1</v>
      </c>
      <c r="R17" s="13">
        <v>155.80000000000001</v>
      </c>
      <c r="S17" s="8">
        <v>6</v>
      </c>
      <c r="T17" s="8">
        <v>0</v>
      </c>
      <c r="U17" s="12">
        <f t="shared" si="0"/>
        <v>-1016499</v>
      </c>
      <c r="V17" s="11">
        <f t="shared" si="1"/>
        <v>-0.13195603036406658</v>
      </c>
      <c r="W17" s="11">
        <f t="shared" si="2"/>
        <v>-0.12849999999999995</v>
      </c>
      <c r="X17" s="8">
        <f t="shared" si="3"/>
        <v>156</v>
      </c>
      <c r="Y17" s="14">
        <f t="shared" si="4"/>
        <v>0.60410783055198969</v>
      </c>
      <c r="Z17" s="12">
        <f t="shared" si="5"/>
        <v>71045.654483637903</v>
      </c>
      <c r="AA17" s="8" t="str">
        <f t="shared" si="6"/>
        <v>Atenção</v>
      </c>
    </row>
    <row r="18" spans="1:27">
      <c r="A18" s="8" t="s">
        <v>163</v>
      </c>
      <c r="B18" s="8" t="s">
        <v>120</v>
      </c>
      <c r="C18" s="8" t="s">
        <v>141</v>
      </c>
      <c r="D18" s="8" t="s">
        <v>164</v>
      </c>
      <c r="E18" s="8" t="s">
        <v>123</v>
      </c>
      <c r="F18" s="9">
        <v>46102</v>
      </c>
      <c r="G18" s="9">
        <v>46111</v>
      </c>
      <c r="H18" s="9"/>
      <c r="I18" s="8" t="s">
        <v>124</v>
      </c>
      <c r="J18" s="8" t="s">
        <v>144</v>
      </c>
      <c r="K18" s="10">
        <v>36</v>
      </c>
      <c r="L18" s="10">
        <v>33.06</v>
      </c>
      <c r="M18" s="11">
        <v>1</v>
      </c>
      <c r="N18" s="11">
        <v>0.91820000000000002</v>
      </c>
      <c r="O18" s="12">
        <v>2778362</v>
      </c>
      <c r="P18" s="12">
        <v>2685335</v>
      </c>
      <c r="Q18" s="13">
        <v>54.8</v>
      </c>
      <c r="R18" s="13">
        <v>54.8</v>
      </c>
      <c r="S18" s="8">
        <v>7</v>
      </c>
      <c r="T18" s="8">
        <v>0</v>
      </c>
      <c r="U18" s="12">
        <f t="shared" si="0"/>
        <v>-93027</v>
      </c>
      <c r="V18" s="11">
        <f t="shared" si="1"/>
        <v>-3.3482677923179195E-2</v>
      </c>
      <c r="W18" s="11">
        <f t="shared" si="2"/>
        <v>-8.1799999999999984E-2</v>
      </c>
      <c r="X18" s="8">
        <f t="shared" si="3"/>
        <v>154</v>
      </c>
      <c r="Y18" s="14">
        <f t="shared" si="4"/>
        <v>0.60328467153284682</v>
      </c>
      <c r="Z18" s="12">
        <f t="shared" si="5"/>
        <v>81226.10405323653</v>
      </c>
      <c r="AA18" s="8" t="str">
        <f t="shared" si="6"/>
        <v>Controlado</v>
      </c>
    </row>
    <row r="19" spans="1:27">
      <c r="A19" s="8" t="s">
        <v>165</v>
      </c>
      <c r="B19" s="8" t="s">
        <v>120</v>
      </c>
      <c r="C19" s="8" t="s">
        <v>141</v>
      </c>
      <c r="D19" s="8" t="s">
        <v>166</v>
      </c>
      <c r="E19" s="8" t="s">
        <v>143</v>
      </c>
      <c r="F19" s="9">
        <v>46106</v>
      </c>
      <c r="G19" s="9">
        <v>46114</v>
      </c>
      <c r="H19" s="9"/>
      <c r="I19" s="8" t="s">
        <v>124</v>
      </c>
      <c r="J19" s="8" t="s">
        <v>144</v>
      </c>
      <c r="K19" s="10">
        <v>56</v>
      </c>
      <c r="L19" s="10">
        <v>45.82</v>
      </c>
      <c r="M19" s="11">
        <v>1</v>
      </c>
      <c r="N19" s="11">
        <v>0.81820000000000004</v>
      </c>
      <c r="O19" s="12">
        <v>6807212</v>
      </c>
      <c r="P19" s="12">
        <v>5945662</v>
      </c>
      <c r="Q19" s="13">
        <v>42.8</v>
      </c>
      <c r="R19" s="13">
        <v>33.5</v>
      </c>
      <c r="S19" s="8">
        <v>6</v>
      </c>
      <c r="T19" s="8">
        <v>0</v>
      </c>
      <c r="U19" s="12">
        <f t="shared" si="0"/>
        <v>-861550</v>
      </c>
      <c r="V19" s="11">
        <f t="shared" si="1"/>
        <v>-0.12656429680756234</v>
      </c>
      <c r="W19" s="11">
        <f t="shared" si="2"/>
        <v>-0.18179999999999996</v>
      </c>
      <c r="X19" s="8">
        <f t="shared" si="3"/>
        <v>151</v>
      </c>
      <c r="Y19" s="14">
        <f t="shared" si="4"/>
        <v>1.3677611940298509</v>
      </c>
      <c r="Z19" s="12">
        <f t="shared" si="5"/>
        <v>129761.28328240942</v>
      </c>
      <c r="AA19" s="8" t="str">
        <f t="shared" si="6"/>
        <v>Atenção</v>
      </c>
    </row>
    <row r="20" spans="1:27">
      <c r="A20" s="8" t="s">
        <v>167</v>
      </c>
      <c r="B20" s="8" t="s">
        <v>120</v>
      </c>
      <c r="C20" s="8" t="s">
        <v>141</v>
      </c>
      <c r="D20" s="8" t="s">
        <v>142</v>
      </c>
      <c r="E20" s="8" t="s">
        <v>137</v>
      </c>
      <c r="F20" s="9">
        <v>46103</v>
      </c>
      <c r="G20" s="9">
        <v>46107</v>
      </c>
      <c r="H20" s="9"/>
      <c r="I20" s="8" t="s">
        <v>124</v>
      </c>
      <c r="J20" s="8" t="s">
        <v>144</v>
      </c>
      <c r="K20" s="10">
        <v>83</v>
      </c>
      <c r="L20" s="10">
        <v>71.010000000000005</v>
      </c>
      <c r="M20" s="11">
        <v>1</v>
      </c>
      <c r="N20" s="11">
        <v>0.85550000000000004</v>
      </c>
      <c r="O20" s="12">
        <v>15114720</v>
      </c>
      <c r="P20" s="12">
        <v>12056164</v>
      </c>
      <c r="Q20" s="13">
        <v>164.1</v>
      </c>
      <c r="R20" s="13">
        <v>166.4</v>
      </c>
      <c r="S20" s="8">
        <v>11</v>
      </c>
      <c r="T20" s="8">
        <v>0</v>
      </c>
      <c r="U20" s="12">
        <f t="shared" si="0"/>
        <v>-3058556</v>
      </c>
      <c r="V20" s="11">
        <f t="shared" si="1"/>
        <v>-0.20235611377518076</v>
      </c>
      <c r="W20" s="11">
        <f t="shared" si="2"/>
        <v>-0.14449999999999996</v>
      </c>
      <c r="X20" s="8">
        <f t="shared" si="3"/>
        <v>158</v>
      </c>
      <c r="Y20" s="14">
        <f t="shared" si="4"/>
        <v>0.42674278846153846</v>
      </c>
      <c r="Z20" s="12">
        <f t="shared" si="5"/>
        <v>169781.21391353328</v>
      </c>
      <c r="AA20" s="8" t="str">
        <f t="shared" si="6"/>
        <v>Atenção</v>
      </c>
    </row>
    <row r="21" spans="1:27">
      <c r="A21" s="8" t="s">
        <v>168</v>
      </c>
      <c r="B21" s="8" t="s">
        <v>120</v>
      </c>
      <c r="C21" s="8" t="s">
        <v>141</v>
      </c>
      <c r="D21" s="8" t="s">
        <v>146</v>
      </c>
      <c r="E21" s="8" t="s">
        <v>143</v>
      </c>
      <c r="F21" s="9">
        <v>46107</v>
      </c>
      <c r="G21" s="9">
        <v>46112</v>
      </c>
      <c r="H21" s="9">
        <v>46121</v>
      </c>
      <c r="I21" s="8" t="s">
        <v>134</v>
      </c>
      <c r="J21" s="8" t="s">
        <v>144</v>
      </c>
      <c r="K21" s="10">
        <v>26</v>
      </c>
      <c r="L21" s="10">
        <v>26</v>
      </c>
      <c r="M21" s="11">
        <v>1</v>
      </c>
      <c r="N21" s="11">
        <v>1</v>
      </c>
      <c r="O21" s="12">
        <v>2102819</v>
      </c>
      <c r="P21" s="12">
        <v>2267196</v>
      </c>
      <c r="Q21" s="13">
        <v>62.8</v>
      </c>
      <c r="R21" s="13">
        <v>61.1</v>
      </c>
      <c r="S21" s="8">
        <v>7</v>
      </c>
      <c r="T21" s="8">
        <v>0</v>
      </c>
      <c r="U21" s="12">
        <f t="shared" si="0"/>
        <v>164377</v>
      </c>
      <c r="V21" s="11">
        <f t="shared" si="1"/>
        <v>7.8169828216313436E-2</v>
      </c>
      <c r="W21" s="11">
        <f t="shared" si="2"/>
        <v>0</v>
      </c>
      <c r="X21" s="8">
        <f t="shared" si="3"/>
        <v>9</v>
      </c>
      <c r="Y21" s="14">
        <f t="shared" si="4"/>
        <v>0.42553191489361702</v>
      </c>
      <c r="Z21" s="12">
        <f t="shared" si="5"/>
        <v>87199.846153846156</v>
      </c>
      <c r="AA21" s="8" t="str">
        <f t="shared" si="6"/>
        <v>Controlado</v>
      </c>
    </row>
    <row r="22" spans="1:27">
      <c r="A22" s="8" t="s">
        <v>169</v>
      </c>
      <c r="B22" s="8" t="s">
        <v>120</v>
      </c>
      <c r="C22" s="8" t="s">
        <v>141</v>
      </c>
      <c r="D22" s="8" t="s">
        <v>148</v>
      </c>
      <c r="E22" s="8" t="s">
        <v>131</v>
      </c>
      <c r="F22" s="9">
        <v>46109</v>
      </c>
      <c r="G22" s="9">
        <v>46118</v>
      </c>
      <c r="H22" s="9">
        <v>46117</v>
      </c>
      <c r="I22" s="8" t="s">
        <v>134</v>
      </c>
      <c r="J22" s="8" t="s">
        <v>144</v>
      </c>
      <c r="K22" s="10">
        <v>38</v>
      </c>
      <c r="L22" s="10">
        <v>38</v>
      </c>
      <c r="M22" s="11">
        <v>1</v>
      </c>
      <c r="N22" s="11">
        <v>1</v>
      </c>
      <c r="O22" s="12">
        <v>3987497</v>
      </c>
      <c r="P22" s="12">
        <v>4361489</v>
      </c>
      <c r="Q22" s="13">
        <v>105</v>
      </c>
      <c r="R22" s="13">
        <v>111.4</v>
      </c>
      <c r="S22" s="8">
        <v>15</v>
      </c>
      <c r="T22" s="8">
        <v>0</v>
      </c>
      <c r="U22" s="12">
        <f t="shared" si="0"/>
        <v>373992</v>
      </c>
      <c r="V22" s="11">
        <f t="shared" si="1"/>
        <v>9.3791167742571346E-2</v>
      </c>
      <c r="W22" s="11">
        <f t="shared" si="2"/>
        <v>0</v>
      </c>
      <c r="X22" s="8">
        <f t="shared" si="3"/>
        <v>0</v>
      </c>
      <c r="Y22" s="14">
        <f t="shared" si="4"/>
        <v>0.34111310592459604</v>
      </c>
      <c r="Z22" s="12">
        <f t="shared" si="5"/>
        <v>114776.02631578948</v>
      </c>
      <c r="AA22" s="8" t="str">
        <f t="shared" si="6"/>
        <v>Controlado</v>
      </c>
    </row>
    <row r="23" spans="1:27">
      <c r="A23" s="8" t="s">
        <v>170</v>
      </c>
      <c r="B23" s="8" t="s">
        <v>120</v>
      </c>
      <c r="C23" s="8" t="s">
        <v>141</v>
      </c>
      <c r="D23" s="8" t="s">
        <v>150</v>
      </c>
      <c r="E23" s="8" t="s">
        <v>123</v>
      </c>
      <c r="F23" s="9">
        <v>46110</v>
      </c>
      <c r="G23" s="9">
        <v>46116</v>
      </c>
      <c r="H23" s="9">
        <v>46115</v>
      </c>
      <c r="I23" s="8" t="s">
        <v>134</v>
      </c>
      <c r="J23" s="8" t="s">
        <v>144</v>
      </c>
      <c r="K23" s="10">
        <v>106</v>
      </c>
      <c r="L23" s="10">
        <v>106</v>
      </c>
      <c r="M23" s="11">
        <v>1</v>
      </c>
      <c r="N23" s="11">
        <v>1</v>
      </c>
      <c r="O23" s="12">
        <v>15581672</v>
      </c>
      <c r="P23" s="12">
        <v>14752578</v>
      </c>
      <c r="Q23" s="13">
        <v>215.6</v>
      </c>
      <c r="R23" s="13">
        <v>255.1</v>
      </c>
      <c r="S23" s="8">
        <v>18</v>
      </c>
      <c r="T23" s="8">
        <v>0</v>
      </c>
      <c r="U23" s="12">
        <f t="shared" si="0"/>
        <v>-829094</v>
      </c>
      <c r="V23" s="11">
        <f t="shared" si="1"/>
        <v>-5.3209565700009599E-2</v>
      </c>
      <c r="W23" s="11">
        <f t="shared" si="2"/>
        <v>0</v>
      </c>
      <c r="X23" s="8">
        <f t="shared" si="3"/>
        <v>0</v>
      </c>
      <c r="Y23" s="14">
        <f t="shared" si="4"/>
        <v>0.41552332418659349</v>
      </c>
      <c r="Z23" s="12">
        <f t="shared" si="5"/>
        <v>139175.2641509434</v>
      </c>
      <c r="AA23" s="8" t="str">
        <f t="shared" si="6"/>
        <v>Controlado</v>
      </c>
    </row>
    <row r="24" spans="1:27">
      <c r="A24" s="8" t="s">
        <v>171</v>
      </c>
      <c r="B24" s="8" t="s">
        <v>120</v>
      </c>
      <c r="C24" s="8" t="s">
        <v>141</v>
      </c>
      <c r="D24" s="8" t="s">
        <v>152</v>
      </c>
      <c r="E24" s="8" t="s">
        <v>131</v>
      </c>
      <c r="F24" s="9">
        <v>46110</v>
      </c>
      <c r="G24" s="9">
        <v>46121</v>
      </c>
      <c r="H24" s="9">
        <v>46121</v>
      </c>
      <c r="I24" s="8" t="s">
        <v>134</v>
      </c>
      <c r="J24" s="8" t="s">
        <v>144</v>
      </c>
      <c r="K24" s="10">
        <v>77</v>
      </c>
      <c r="L24" s="10">
        <v>76.95</v>
      </c>
      <c r="M24" s="11">
        <v>1</v>
      </c>
      <c r="N24" s="11">
        <v>0.99939999999999996</v>
      </c>
      <c r="O24" s="12">
        <v>12127699</v>
      </c>
      <c r="P24" s="12">
        <v>11994770</v>
      </c>
      <c r="Q24" s="13">
        <v>142.19999999999999</v>
      </c>
      <c r="R24" s="13">
        <v>170.1</v>
      </c>
      <c r="S24" s="8">
        <v>18</v>
      </c>
      <c r="T24" s="8">
        <v>0</v>
      </c>
      <c r="U24" s="12">
        <f t="shared" si="0"/>
        <v>-132929</v>
      </c>
      <c r="V24" s="11">
        <f t="shared" si="1"/>
        <v>-1.0960776648562931E-2</v>
      </c>
      <c r="W24" s="11">
        <f t="shared" si="2"/>
        <v>-6.0000000000004494E-4</v>
      </c>
      <c r="X24" s="8">
        <f t="shared" si="3"/>
        <v>0</v>
      </c>
      <c r="Y24" s="14">
        <f t="shared" si="4"/>
        <v>0.45238095238095244</v>
      </c>
      <c r="Z24" s="12">
        <f t="shared" si="5"/>
        <v>155877.45289148798</v>
      </c>
      <c r="AA24" s="8" t="str">
        <f t="shared" si="6"/>
        <v>Controlado</v>
      </c>
    </row>
    <row r="25" spans="1:27">
      <c r="A25" s="8" t="s">
        <v>172</v>
      </c>
      <c r="B25" s="8" t="s">
        <v>120</v>
      </c>
      <c r="C25" s="8" t="s">
        <v>141</v>
      </c>
      <c r="D25" s="8" t="s">
        <v>154</v>
      </c>
      <c r="E25" s="8" t="s">
        <v>137</v>
      </c>
      <c r="F25" s="9">
        <v>46111</v>
      </c>
      <c r="G25" s="9">
        <v>46126</v>
      </c>
      <c r="H25" s="9">
        <v>46130</v>
      </c>
      <c r="I25" s="8" t="s">
        <v>134</v>
      </c>
      <c r="J25" s="8" t="s">
        <v>144</v>
      </c>
      <c r="K25" s="10">
        <v>44</v>
      </c>
      <c r="L25" s="10">
        <v>44</v>
      </c>
      <c r="M25" s="11">
        <v>1</v>
      </c>
      <c r="N25" s="11">
        <v>1</v>
      </c>
      <c r="O25" s="12">
        <v>5846289</v>
      </c>
      <c r="P25" s="12">
        <v>6089814</v>
      </c>
      <c r="Q25" s="13">
        <v>72.900000000000006</v>
      </c>
      <c r="R25" s="13">
        <v>87</v>
      </c>
      <c r="S25" s="8">
        <v>15</v>
      </c>
      <c r="T25" s="8">
        <v>1</v>
      </c>
      <c r="U25" s="12">
        <f t="shared" si="0"/>
        <v>243525</v>
      </c>
      <c r="V25" s="11">
        <f t="shared" si="1"/>
        <v>4.1654629116008465E-2</v>
      </c>
      <c r="W25" s="11">
        <f t="shared" si="2"/>
        <v>0</v>
      </c>
      <c r="X25" s="8">
        <f t="shared" si="3"/>
        <v>4</v>
      </c>
      <c r="Y25" s="14">
        <f t="shared" si="4"/>
        <v>0.50574712643678166</v>
      </c>
      <c r="Z25" s="12">
        <f t="shared" si="5"/>
        <v>138404.86363636365</v>
      </c>
      <c r="AA25" s="8" t="str">
        <f t="shared" si="6"/>
        <v>Controlado</v>
      </c>
    </row>
    <row r="26" spans="1:27">
      <c r="A26" s="8" t="s">
        <v>173</v>
      </c>
      <c r="B26" s="8" t="s">
        <v>120</v>
      </c>
      <c r="C26" s="8" t="s">
        <v>141</v>
      </c>
      <c r="D26" s="8" t="s">
        <v>156</v>
      </c>
      <c r="E26" s="8" t="s">
        <v>131</v>
      </c>
      <c r="F26" s="9">
        <v>46110</v>
      </c>
      <c r="G26" s="9">
        <v>46124</v>
      </c>
      <c r="H26" s="9"/>
      <c r="I26" s="8" t="s">
        <v>124</v>
      </c>
      <c r="J26" s="8" t="s">
        <v>144</v>
      </c>
      <c r="K26" s="10">
        <v>51</v>
      </c>
      <c r="L26" s="10">
        <v>48.13</v>
      </c>
      <c r="M26" s="11">
        <v>1</v>
      </c>
      <c r="N26" s="11">
        <v>0.94369999999999998</v>
      </c>
      <c r="O26" s="12">
        <v>7083962</v>
      </c>
      <c r="P26" s="12">
        <v>6196581</v>
      </c>
      <c r="Q26" s="13">
        <v>103.9</v>
      </c>
      <c r="R26" s="13">
        <v>117.8</v>
      </c>
      <c r="S26" s="8">
        <v>18</v>
      </c>
      <c r="T26" s="8">
        <v>0</v>
      </c>
      <c r="U26" s="12">
        <f t="shared" si="0"/>
        <v>-887381</v>
      </c>
      <c r="V26" s="11">
        <f t="shared" si="1"/>
        <v>-0.12526619990338739</v>
      </c>
      <c r="W26" s="11">
        <f t="shared" si="2"/>
        <v>-5.6300000000000017E-2</v>
      </c>
      <c r="X26" s="8">
        <f t="shared" si="3"/>
        <v>141</v>
      </c>
      <c r="Y26" s="14">
        <f t="shared" si="4"/>
        <v>0.40857385398981327</v>
      </c>
      <c r="Z26" s="12">
        <f t="shared" si="5"/>
        <v>128746.74838977768</v>
      </c>
      <c r="AA26" s="8" t="str">
        <f t="shared" si="6"/>
        <v>Controlado</v>
      </c>
    </row>
    <row r="27" spans="1:27">
      <c r="A27" s="8" t="s">
        <v>174</v>
      </c>
      <c r="B27" s="8" t="s">
        <v>120</v>
      </c>
      <c r="C27" s="8" t="s">
        <v>141</v>
      </c>
      <c r="D27" s="8" t="s">
        <v>158</v>
      </c>
      <c r="E27" s="8" t="s">
        <v>137</v>
      </c>
      <c r="F27" s="9">
        <v>46112</v>
      </c>
      <c r="G27" s="9">
        <v>46126</v>
      </c>
      <c r="H27" s="9">
        <v>46128</v>
      </c>
      <c r="I27" s="8" t="s">
        <v>134</v>
      </c>
      <c r="J27" s="8" t="s">
        <v>144</v>
      </c>
      <c r="K27" s="10">
        <v>69</v>
      </c>
      <c r="L27" s="10">
        <v>69</v>
      </c>
      <c r="M27" s="11">
        <v>1</v>
      </c>
      <c r="N27" s="11">
        <v>1</v>
      </c>
      <c r="O27" s="12">
        <v>12008086</v>
      </c>
      <c r="P27" s="12">
        <v>11555228</v>
      </c>
      <c r="Q27" s="13">
        <v>78.5</v>
      </c>
      <c r="R27" s="13">
        <v>77.8</v>
      </c>
      <c r="S27" s="8">
        <v>14</v>
      </c>
      <c r="T27" s="8">
        <v>0</v>
      </c>
      <c r="U27" s="12">
        <f t="shared" si="0"/>
        <v>-452858</v>
      </c>
      <c r="V27" s="11">
        <f t="shared" si="1"/>
        <v>-3.7712754555555318E-2</v>
      </c>
      <c r="W27" s="11">
        <f t="shared" si="2"/>
        <v>0</v>
      </c>
      <c r="X27" s="8">
        <f t="shared" si="3"/>
        <v>2</v>
      </c>
      <c r="Y27" s="14">
        <f t="shared" si="4"/>
        <v>0.88688946015424164</v>
      </c>
      <c r="Z27" s="12">
        <f t="shared" si="5"/>
        <v>167467.07246376813</v>
      </c>
      <c r="AA27" s="8" t="str">
        <f t="shared" si="6"/>
        <v>Controlado</v>
      </c>
    </row>
    <row r="28" spans="1:27">
      <c r="A28" s="8" t="s">
        <v>175</v>
      </c>
      <c r="B28" s="8" t="s">
        <v>120</v>
      </c>
      <c r="C28" s="8" t="s">
        <v>141</v>
      </c>
      <c r="D28" s="8" t="s">
        <v>160</v>
      </c>
      <c r="E28" s="8" t="s">
        <v>128</v>
      </c>
      <c r="F28" s="9">
        <v>46114</v>
      </c>
      <c r="G28" s="9">
        <v>46123</v>
      </c>
      <c r="H28" s="9">
        <v>46124</v>
      </c>
      <c r="I28" s="8" t="s">
        <v>134</v>
      </c>
      <c r="J28" s="8" t="s">
        <v>144</v>
      </c>
      <c r="K28" s="10">
        <v>88</v>
      </c>
      <c r="L28" s="10">
        <v>88</v>
      </c>
      <c r="M28" s="11">
        <v>1</v>
      </c>
      <c r="N28" s="11">
        <v>1</v>
      </c>
      <c r="O28" s="12">
        <v>5956945</v>
      </c>
      <c r="P28" s="12">
        <v>6393358</v>
      </c>
      <c r="Q28" s="13">
        <v>126.8</v>
      </c>
      <c r="R28" s="13">
        <v>129.19999999999999</v>
      </c>
      <c r="S28" s="8">
        <v>4</v>
      </c>
      <c r="T28" s="8">
        <v>0</v>
      </c>
      <c r="U28" s="12">
        <f t="shared" si="0"/>
        <v>436413</v>
      </c>
      <c r="V28" s="11">
        <f t="shared" si="1"/>
        <v>7.3261210234440641E-2</v>
      </c>
      <c r="W28" s="11">
        <f t="shared" si="2"/>
        <v>0</v>
      </c>
      <c r="X28" s="8">
        <f t="shared" si="3"/>
        <v>1</v>
      </c>
      <c r="Y28" s="14">
        <f t="shared" si="4"/>
        <v>0.68111455108359142</v>
      </c>
      <c r="Z28" s="12">
        <f t="shared" si="5"/>
        <v>72651.795454545456</v>
      </c>
      <c r="AA28" s="8" t="str">
        <f t="shared" si="6"/>
        <v>Controlado</v>
      </c>
    </row>
    <row r="29" spans="1:27">
      <c r="A29" s="8" t="s">
        <v>176</v>
      </c>
      <c r="B29" s="8" t="s">
        <v>120</v>
      </c>
      <c r="C29" s="8" t="s">
        <v>141</v>
      </c>
      <c r="D29" s="8" t="s">
        <v>162</v>
      </c>
      <c r="E29" s="8" t="s">
        <v>128</v>
      </c>
      <c r="F29" s="9">
        <v>46114</v>
      </c>
      <c r="G29" s="9">
        <v>46120</v>
      </c>
      <c r="H29" s="9">
        <v>46124</v>
      </c>
      <c r="I29" s="8" t="s">
        <v>134</v>
      </c>
      <c r="J29" s="8" t="s">
        <v>144</v>
      </c>
      <c r="K29" s="10">
        <v>81</v>
      </c>
      <c r="L29" s="10">
        <v>81</v>
      </c>
      <c r="M29" s="11">
        <v>1</v>
      </c>
      <c r="N29" s="11">
        <v>1</v>
      </c>
      <c r="O29" s="12">
        <v>5865679</v>
      </c>
      <c r="P29" s="12">
        <v>5773584</v>
      </c>
      <c r="Q29" s="13">
        <v>122.5</v>
      </c>
      <c r="R29" s="13">
        <v>130.19999999999999</v>
      </c>
      <c r="S29" s="8">
        <v>16</v>
      </c>
      <c r="T29" s="8">
        <v>0</v>
      </c>
      <c r="U29" s="12">
        <f t="shared" si="0"/>
        <v>-92095</v>
      </c>
      <c r="V29" s="11">
        <f t="shared" si="1"/>
        <v>-1.570065460452234E-2</v>
      </c>
      <c r="W29" s="11">
        <f t="shared" si="2"/>
        <v>0</v>
      </c>
      <c r="X29" s="8">
        <f t="shared" si="3"/>
        <v>4</v>
      </c>
      <c r="Y29" s="14">
        <f t="shared" si="4"/>
        <v>0.62211981566820285</v>
      </c>
      <c r="Z29" s="12">
        <f t="shared" si="5"/>
        <v>71278.814814814818</v>
      </c>
      <c r="AA29" s="8" t="str">
        <f t="shared" si="6"/>
        <v>Controlado</v>
      </c>
    </row>
    <row r="30" spans="1:27">
      <c r="A30" s="8" t="s">
        <v>177</v>
      </c>
      <c r="B30" s="8" t="s">
        <v>120</v>
      </c>
      <c r="C30" s="8" t="s">
        <v>141</v>
      </c>
      <c r="D30" s="8" t="s">
        <v>164</v>
      </c>
      <c r="E30" s="8" t="s">
        <v>131</v>
      </c>
      <c r="F30" s="9">
        <v>46114</v>
      </c>
      <c r="G30" s="9">
        <v>46123</v>
      </c>
      <c r="H30" s="9">
        <v>46122</v>
      </c>
      <c r="I30" s="8" t="s">
        <v>134</v>
      </c>
      <c r="J30" s="8" t="s">
        <v>144</v>
      </c>
      <c r="K30" s="10">
        <v>107</v>
      </c>
      <c r="L30" s="10">
        <v>107</v>
      </c>
      <c r="M30" s="11">
        <v>1</v>
      </c>
      <c r="N30" s="11">
        <v>1</v>
      </c>
      <c r="O30" s="12">
        <v>15103225</v>
      </c>
      <c r="P30" s="12">
        <v>16356006</v>
      </c>
      <c r="Q30" s="13">
        <v>179.9</v>
      </c>
      <c r="R30" s="13">
        <v>182.2</v>
      </c>
      <c r="S30" s="8">
        <v>11</v>
      </c>
      <c r="T30" s="8">
        <v>0</v>
      </c>
      <c r="U30" s="12">
        <f t="shared" si="0"/>
        <v>1252781</v>
      </c>
      <c r="V30" s="11">
        <f t="shared" si="1"/>
        <v>8.2947913442327714E-2</v>
      </c>
      <c r="W30" s="11">
        <f t="shared" si="2"/>
        <v>0</v>
      </c>
      <c r="X30" s="8">
        <f t="shared" si="3"/>
        <v>0</v>
      </c>
      <c r="Y30" s="14">
        <f t="shared" si="4"/>
        <v>0.58726673984632272</v>
      </c>
      <c r="Z30" s="12">
        <f t="shared" si="5"/>
        <v>152859.86915887852</v>
      </c>
      <c r="AA30" s="8" t="str">
        <f t="shared" si="6"/>
        <v>Controlado</v>
      </c>
    </row>
    <row r="31" spans="1:27">
      <c r="A31" s="8" t="s">
        <v>178</v>
      </c>
      <c r="B31" s="8" t="s">
        <v>120</v>
      </c>
      <c r="C31" s="8" t="s">
        <v>141</v>
      </c>
      <c r="D31" s="8" t="s">
        <v>166</v>
      </c>
      <c r="E31" s="8" t="s">
        <v>128</v>
      </c>
      <c r="F31" s="9">
        <v>46116</v>
      </c>
      <c r="G31" s="9">
        <v>46126</v>
      </c>
      <c r="H31" s="9">
        <v>46127</v>
      </c>
      <c r="I31" s="8" t="s">
        <v>134</v>
      </c>
      <c r="J31" s="8" t="s">
        <v>144</v>
      </c>
      <c r="K31" s="10">
        <v>51</v>
      </c>
      <c r="L31" s="10">
        <v>51</v>
      </c>
      <c r="M31" s="11">
        <v>1</v>
      </c>
      <c r="N31" s="11">
        <v>1</v>
      </c>
      <c r="O31" s="12">
        <v>4288405</v>
      </c>
      <c r="P31" s="12">
        <v>4273848</v>
      </c>
      <c r="Q31" s="13">
        <v>71.3</v>
      </c>
      <c r="R31" s="13">
        <v>83.2</v>
      </c>
      <c r="S31" s="8">
        <v>8</v>
      </c>
      <c r="T31" s="8">
        <v>0</v>
      </c>
      <c r="U31" s="12">
        <f t="shared" si="0"/>
        <v>-14557</v>
      </c>
      <c r="V31" s="11">
        <f t="shared" si="1"/>
        <v>-3.3945021517324042E-3</v>
      </c>
      <c r="W31" s="11">
        <f t="shared" si="2"/>
        <v>0</v>
      </c>
      <c r="X31" s="8">
        <f t="shared" si="3"/>
        <v>1</v>
      </c>
      <c r="Y31" s="14">
        <f t="shared" si="4"/>
        <v>0.61298076923076916</v>
      </c>
      <c r="Z31" s="12">
        <f t="shared" si="5"/>
        <v>83800.941176470587</v>
      </c>
      <c r="AA31" s="8" t="str">
        <f t="shared" si="6"/>
        <v>Controlado</v>
      </c>
    </row>
    <row r="32" spans="1:27">
      <c r="A32" s="8" t="s">
        <v>179</v>
      </c>
      <c r="B32" s="8" t="s">
        <v>120</v>
      </c>
      <c r="C32" s="8" t="s">
        <v>180</v>
      </c>
      <c r="D32" s="8" t="s">
        <v>181</v>
      </c>
      <c r="E32" s="8" t="s">
        <v>131</v>
      </c>
      <c r="F32" s="9">
        <v>46119</v>
      </c>
      <c r="G32" s="9">
        <v>46128</v>
      </c>
      <c r="H32" s="9">
        <v>46135</v>
      </c>
      <c r="I32" s="8" t="s">
        <v>134</v>
      </c>
      <c r="J32" s="8" t="s">
        <v>144</v>
      </c>
      <c r="K32" s="10">
        <v>28</v>
      </c>
      <c r="L32" s="10">
        <v>28</v>
      </c>
      <c r="M32" s="11">
        <v>1</v>
      </c>
      <c r="N32" s="11">
        <v>1</v>
      </c>
      <c r="O32" s="12">
        <v>3300959</v>
      </c>
      <c r="P32" s="12">
        <v>3258247</v>
      </c>
      <c r="Q32" s="13">
        <v>38.200000000000003</v>
      </c>
      <c r="R32" s="13">
        <v>37.700000000000003</v>
      </c>
      <c r="S32" s="8">
        <v>17</v>
      </c>
      <c r="T32" s="8">
        <v>0</v>
      </c>
      <c r="U32" s="12">
        <f t="shared" si="0"/>
        <v>-42712</v>
      </c>
      <c r="V32" s="11">
        <f t="shared" si="1"/>
        <v>-1.2939270072727349E-2</v>
      </c>
      <c r="W32" s="11">
        <f t="shared" si="2"/>
        <v>0</v>
      </c>
      <c r="X32" s="8">
        <f t="shared" si="3"/>
        <v>7</v>
      </c>
      <c r="Y32" s="14">
        <f t="shared" si="4"/>
        <v>0.74270557029177708</v>
      </c>
      <c r="Z32" s="12">
        <f t="shared" si="5"/>
        <v>116365.96428571429</v>
      </c>
      <c r="AA32" s="8" t="str">
        <f t="shared" si="6"/>
        <v>Controlado</v>
      </c>
    </row>
    <row r="33" spans="1:27">
      <c r="A33" s="8" t="s">
        <v>182</v>
      </c>
      <c r="B33" s="8" t="s">
        <v>120</v>
      </c>
      <c r="C33" s="8" t="s">
        <v>180</v>
      </c>
      <c r="D33" s="8" t="s">
        <v>183</v>
      </c>
      <c r="E33" s="8" t="s">
        <v>131</v>
      </c>
      <c r="F33" s="9">
        <v>46121</v>
      </c>
      <c r="G33" s="9">
        <v>46131</v>
      </c>
      <c r="H33" s="9"/>
      <c r="I33" s="8" t="s">
        <v>124</v>
      </c>
      <c r="J33" s="8" t="s">
        <v>144</v>
      </c>
      <c r="K33" s="10">
        <v>79</v>
      </c>
      <c r="L33" s="10">
        <v>62.15</v>
      </c>
      <c r="M33" s="11">
        <v>1</v>
      </c>
      <c r="N33" s="11">
        <v>0.78669999999999995</v>
      </c>
      <c r="O33" s="12">
        <v>10550248</v>
      </c>
      <c r="P33" s="12">
        <v>8292035</v>
      </c>
      <c r="Q33" s="13">
        <v>188</v>
      </c>
      <c r="R33" s="13">
        <v>169.4</v>
      </c>
      <c r="S33" s="8">
        <v>6</v>
      </c>
      <c r="T33" s="8">
        <v>0</v>
      </c>
      <c r="U33" s="12">
        <f t="shared" si="0"/>
        <v>-2258213</v>
      </c>
      <c r="V33" s="11">
        <f t="shared" si="1"/>
        <v>-0.21404359404632003</v>
      </c>
      <c r="W33" s="11">
        <f t="shared" si="2"/>
        <v>-0.21330000000000005</v>
      </c>
      <c r="X33" s="8">
        <f t="shared" si="3"/>
        <v>134</v>
      </c>
      <c r="Y33" s="14">
        <f t="shared" si="4"/>
        <v>0.36688311688311687</v>
      </c>
      <c r="Z33" s="12">
        <f t="shared" si="5"/>
        <v>133419.71037811745</v>
      </c>
      <c r="AA33" s="8" t="str">
        <f t="shared" si="6"/>
        <v>Atenção</v>
      </c>
    </row>
    <row r="34" spans="1:27">
      <c r="A34" s="8" t="s">
        <v>184</v>
      </c>
      <c r="B34" s="8" t="s">
        <v>120</v>
      </c>
      <c r="C34" s="8" t="s">
        <v>180</v>
      </c>
      <c r="D34" s="8" t="s">
        <v>185</v>
      </c>
      <c r="E34" s="8" t="s">
        <v>131</v>
      </c>
      <c r="F34" s="9">
        <v>46121</v>
      </c>
      <c r="G34" s="9">
        <v>46133</v>
      </c>
      <c r="H34" s="9"/>
      <c r="I34" s="8" t="s">
        <v>124</v>
      </c>
      <c r="J34" s="8" t="s">
        <v>144</v>
      </c>
      <c r="K34" s="10">
        <v>130</v>
      </c>
      <c r="L34" s="10">
        <v>101.55</v>
      </c>
      <c r="M34" s="11">
        <v>1</v>
      </c>
      <c r="N34" s="11">
        <v>0.78120000000000001</v>
      </c>
      <c r="O34" s="12">
        <v>12126656</v>
      </c>
      <c r="P34" s="12">
        <v>9803744</v>
      </c>
      <c r="Q34" s="13">
        <v>303.89999999999998</v>
      </c>
      <c r="R34" s="13">
        <v>230.7</v>
      </c>
      <c r="S34" s="8">
        <v>9</v>
      </c>
      <c r="T34" s="8">
        <v>0</v>
      </c>
      <c r="U34" s="12">
        <f t="shared" ref="U34:U65" si="7">P34-O34</f>
        <v>-2322912</v>
      </c>
      <c r="V34" s="11">
        <f t="shared" ref="V34:V65" si="8">IFERROR(U34/O34,0)</f>
        <v>-0.19155420917357596</v>
      </c>
      <c r="W34" s="11">
        <f t="shared" ref="W34:W65" si="9">N34-M34</f>
        <v>-0.21879999999999999</v>
      </c>
      <c r="X34" s="8">
        <f t="shared" ref="X34:X65" si="10">IF(H34&lt;&gt;"",MAX(0,H34-G34),MAX(0,DATE(2026,8,31)-G34))</f>
        <v>132</v>
      </c>
      <c r="Y34" s="14">
        <f t="shared" ref="Y34:Y65" si="11">IFERROR(L34/R34,0)</f>
        <v>0.44018205461638493</v>
      </c>
      <c r="Z34" s="12">
        <f t="shared" ref="Z34:Z65" si="12">IFERROR(P34/L34,0)</f>
        <v>96541.053668143781</v>
      </c>
      <c r="AA34" s="8" t="str">
        <f t="shared" ref="AA34:AA65" si="13">IF(V34&gt;0.1,"Crítico",IF(W34&lt;-0.1,"Atenção","Controlado"))</f>
        <v>Atenção</v>
      </c>
    </row>
    <row r="35" spans="1:27">
      <c r="A35" s="8" t="s">
        <v>186</v>
      </c>
      <c r="B35" s="8" t="s">
        <v>120</v>
      </c>
      <c r="C35" s="8" t="s">
        <v>180</v>
      </c>
      <c r="D35" s="8" t="s">
        <v>187</v>
      </c>
      <c r="E35" s="8" t="s">
        <v>137</v>
      </c>
      <c r="F35" s="9">
        <v>46126</v>
      </c>
      <c r="G35" s="9">
        <v>46140</v>
      </c>
      <c r="H35" s="9">
        <v>46140</v>
      </c>
      <c r="I35" s="8" t="s">
        <v>134</v>
      </c>
      <c r="J35" s="8" t="s">
        <v>144</v>
      </c>
      <c r="K35" s="10">
        <v>38</v>
      </c>
      <c r="L35" s="10">
        <v>38</v>
      </c>
      <c r="M35" s="11">
        <v>1</v>
      </c>
      <c r="N35" s="11">
        <v>1</v>
      </c>
      <c r="O35" s="12">
        <v>6828369</v>
      </c>
      <c r="P35" s="12">
        <v>6773307</v>
      </c>
      <c r="Q35" s="13">
        <v>102.2</v>
      </c>
      <c r="R35" s="13">
        <v>123.8</v>
      </c>
      <c r="S35" s="8">
        <v>6</v>
      </c>
      <c r="T35" s="8">
        <v>0</v>
      </c>
      <c r="U35" s="12">
        <f t="shared" si="7"/>
        <v>-55062</v>
      </c>
      <c r="V35" s="11">
        <f t="shared" si="8"/>
        <v>-8.0637118468553769E-3</v>
      </c>
      <c r="W35" s="11">
        <f t="shared" si="9"/>
        <v>0</v>
      </c>
      <c r="X35" s="8">
        <f t="shared" si="10"/>
        <v>0</v>
      </c>
      <c r="Y35" s="14">
        <f t="shared" si="11"/>
        <v>0.30694668820678517</v>
      </c>
      <c r="Z35" s="12">
        <f t="shared" si="12"/>
        <v>178244.92105263157</v>
      </c>
      <c r="AA35" s="8" t="str">
        <f t="shared" si="13"/>
        <v>Controlado</v>
      </c>
    </row>
    <row r="36" spans="1:27">
      <c r="A36" s="8" t="s">
        <v>188</v>
      </c>
      <c r="B36" s="8" t="s">
        <v>120</v>
      </c>
      <c r="C36" s="8" t="s">
        <v>180</v>
      </c>
      <c r="D36" s="8" t="s">
        <v>189</v>
      </c>
      <c r="E36" s="8" t="s">
        <v>137</v>
      </c>
      <c r="F36" s="9">
        <v>46125</v>
      </c>
      <c r="G36" s="9">
        <v>46131</v>
      </c>
      <c r="H36" s="9">
        <v>46134</v>
      </c>
      <c r="I36" s="8" t="s">
        <v>134</v>
      </c>
      <c r="J36" s="8" t="s">
        <v>144</v>
      </c>
      <c r="K36" s="10">
        <v>93</v>
      </c>
      <c r="L36" s="10">
        <v>93</v>
      </c>
      <c r="M36" s="11">
        <v>1</v>
      </c>
      <c r="N36" s="11">
        <v>1</v>
      </c>
      <c r="O36" s="12">
        <v>16320057</v>
      </c>
      <c r="P36" s="12">
        <v>17501037</v>
      </c>
      <c r="Q36" s="13">
        <v>246.7</v>
      </c>
      <c r="R36" s="13">
        <v>257.2</v>
      </c>
      <c r="S36" s="8">
        <v>14</v>
      </c>
      <c r="T36" s="8">
        <v>0</v>
      </c>
      <c r="U36" s="12">
        <f t="shared" si="7"/>
        <v>1180980</v>
      </c>
      <c r="V36" s="11">
        <f t="shared" si="8"/>
        <v>7.2363717847308995E-2</v>
      </c>
      <c r="W36" s="11">
        <f t="shared" si="9"/>
        <v>0</v>
      </c>
      <c r="X36" s="8">
        <f t="shared" si="10"/>
        <v>3</v>
      </c>
      <c r="Y36" s="14">
        <f t="shared" si="11"/>
        <v>0.3615863141524106</v>
      </c>
      <c r="Z36" s="12">
        <f t="shared" si="12"/>
        <v>188183.19354838709</v>
      </c>
      <c r="AA36" s="8" t="str">
        <f t="shared" si="13"/>
        <v>Controlado</v>
      </c>
    </row>
    <row r="37" spans="1:27">
      <c r="A37" s="8" t="s">
        <v>190</v>
      </c>
      <c r="B37" s="8" t="s">
        <v>120</v>
      </c>
      <c r="C37" s="8" t="s">
        <v>180</v>
      </c>
      <c r="D37" s="8" t="s">
        <v>191</v>
      </c>
      <c r="E37" s="8" t="s">
        <v>123</v>
      </c>
      <c r="F37" s="9">
        <v>46126</v>
      </c>
      <c r="G37" s="9">
        <v>46131</v>
      </c>
      <c r="H37" s="9">
        <v>46129</v>
      </c>
      <c r="I37" s="8" t="s">
        <v>134</v>
      </c>
      <c r="J37" s="8" t="s">
        <v>144</v>
      </c>
      <c r="K37" s="10">
        <v>22</v>
      </c>
      <c r="L37" s="10">
        <v>22</v>
      </c>
      <c r="M37" s="11">
        <v>1</v>
      </c>
      <c r="N37" s="11">
        <v>1</v>
      </c>
      <c r="O37" s="12">
        <v>3561322</v>
      </c>
      <c r="P37" s="12">
        <v>3923359</v>
      </c>
      <c r="Q37" s="13">
        <v>39.700000000000003</v>
      </c>
      <c r="R37" s="13">
        <v>39.799999999999997</v>
      </c>
      <c r="S37" s="8">
        <v>6</v>
      </c>
      <c r="T37" s="8">
        <v>0</v>
      </c>
      <c r="U37" s="12">
        <f t="shared" si="7"/>
        <v>362037</v>
      </c>
      <c r="V37" s="11">
        <f t="shared" si="8"/>
        <v>0.10165803597652781</v>
      </c>
      <c r="W37" s="11">
        <f t="shared" si="9"/>
        <v>0</v>
      </c>
      <c r="X37" s="8">
        <f t="shared" si="10"/>
        <v>0</v>
      </c>
      <c r="Y37" s="14">
        <f t="shared" si="11"/>
        <v>0.55276381909547745</v>
      </c>
      <c r="Z37" s="12">
        <f t="shared" si="12"/>
        <v>178334.5</v>
      </c>
      <c r="AA37" s="8" t="str">
        <f t="shared" si="13"/>
        <v>Crítico</v>
      </c>
    </row>
    <row r="38" spans="1:27">
      <c r="A38" s="8" t="s">
        <v>192</v>
      </c>
      <c r="B38" s="8" t="s">
        <v>120</v>
      </c>
      <c r="C38" s="8" t="s">
        <v>180</v>
      </c>
      <c r="D38" s="8" t="s">
        <v>193</v>
      </c>
      <c r="E38" s="8" t="s">
        <v>137</v>
      </c>
      <c r="F38" s="9">
        <v>46129</v>
      </c>
      <c r="G38" s="9">
        <v>46141</v>
      </c>
      <c r="H38" s="9"/>
      <c r="I38" s="8" t="s">
        <v>124</v>
      </c>
      <c r="J38" s="8" t="s">
        <v>144</v>
      </c>
      <c r="K38" s="10">
        <v>39</v>
      </c>
      <c r="L38" s="10">
        <v>32.15</v>
      </c>
      <c r="M38" s="11">
        <v>1</v>
      </c>
      <c r="N38" s="11">
        <v>0.82440000000000002</v>
      </c>
      <c r="O38" s="12">
        <v>3335283</v>
      </c>
      <c r="P38" s="12">
        <v>2792220</v>
      </c>
      <c r="Q38" s="13">
        <v>78.599999999999994</v>
      </c>
      <c r="R38" s="13">
        <v>64.599999999999994</v>
      </c>
      <c r="S38" s="8">
        <v>16</v>
      </c>
      <c r="T38" s="8">
        <v>0</v>
      </c>
      <c r="U38" s="12">
        <f t="shared" si="7"/>
        <v>-543063</v>
      </c>
      <c r="V38" s="11">
        <f t="shared" si="8"/>
        <v>-0.16282366443866983</v>
      </c>
      <c r="W38" s="11">
        <f t="shared" si="9"/>
        <v>-0.17559999999999998</v>
      </c>
      <c r="X38" s="8">
        <f t="shared" si="10"/>
        <v>124</v>
      </c>
      <c r="Y38" s="14">
        <f t="shared" si="11"/>
        <v>0.49767801857585142</v>
      </c>
      <c r="Z38" s="12">
        <f t="shared" si="12"/>
        <v>86849.766718507002</v>
      </c>
      <c r="AA38" s="8" t="str">
        <f t="shared" si="13"/>
        <v>Atenção</v>
      </c>
    </row>
    <row r="39" spans="1:27">
      <c r="A39" s="8" t="s">
        <v>194</v>
      </c>
      <c r="B39" s="8" t="s">
        <v>120</v>
      </c>
      <c r="C39" s="8" t="s">
        <v>180</v>
      </c>
      <c r="D39" s="8" t="s">
        <v>195</v>
      </c>
      <c r="E39" s="8" t="s">
        <v>131</v>
      </c>
      <c r="F39" s="9">
        <v>46131</v>
      </c>
      <c r="G39" s="9">
        <v>46141</v>
      </c>
      <c r="H39" s="9">
        <v>46140</v>
      </c>
      <c r="I39" s="8" t="s">
        <v>134</v>
      </c>
      <c r="J39" s="8" t="s">
        <v>144</v>
      </c>
      <c r="K39" s="10">
        <v>34</v>
      </c>
      <c r="L39" s="10">
        <v>34</v>
      </c>
      <c r="M39" s="11">
        <v>1</v>
      </c>
      <c r="N39" s="11">
        <v>1</v>
      </c>
      <c r="O39" s="12">
        <v>5521183</v>
      </c>
      <c r="P39" s="12">
        <v>5418976</v>
      </c>
      <c r="Q39" s="13">
        <v>70.400000000000006</v>
      </c>
      <c r="R39" s="13">
        <v>83.2</v>
      </c>
      <c r="S39" s="8">
        <v>8</v>
      </c>
      <c r="T39" s="8">
        <v>0</v>
      </c>
      <c r="U39" s="12">
        <f t="shared" si="7"/>
        <v>-102207</v>
      </c>
      <c r="V39" s="11">
        <f t="shared" si="8"/>
        <v>-1.8511793577572051E-2</v>
      </c>
      <c r="W39" s="11">
        <f t="shared" si="9"/>
        <v>0</v>
      </c>
      <c r="X39" s="8">
        <f t="shared" si="10"/>
        <v>0</v>
      </c>
      <c r="Y39" s="14">
        <f t="shared" si="11"/>
        <v>0.40865384615384615</v>
      </c>
      <c r="Z39" s="12">
        <f t="shared" si="12"/>
        <v>159381.64705882352</v>
      </c>
      <c r="AA39" s="8" t="str">
        <f t="shared" si="13"/>
        <v>Controlado</v>
      </c>
    </row>
    <row r="40" spans="1:27">
      <c r="A40" s="8" t="s">
        <v>196</v>
      </c>
      <c r="B40" s="8" t="s">
        <v>120</v>
      </c>
      <c r="C40" s="8" t="s">
        <v>180</v>
      </c>
      <c r="D40" s="8" t="s">
        <v>197</v>
      </c>
      <c r="E40" s="8" t="s">
        <v>131</v>
      </c>
      <c r="F40" s="9">
        <v>46128</v>
      </c>
      <c r="G40" s="9">
        <v>46135</v>
      </c>
      <c r="H40" s="9">
        <v>46143</v>
      </c>
      <c r="I40" s="8" t="s">
        <v>134</v>
      </c>
      <c r="J40" s="8" t="s">
        <v>144</v>
      </c>
      <c r="K40" s="10">
        <v>46</v>
      </c>
      <c r="L40" s="10">
        <v>46</v>
      </c>
      <c r="M40" s="11">
        <v>1</v>
      </c>
      <c r="N40" s="11">
        <v>1</v>
      </c>
      <c r="O40" s="12">
        <v>5810154</v>
      </c>
      <c r="P40" s="12">
        <v>5488429</v>
      </c>
      <c r="Q40" s="13">
        <v>96.4</v>
      </c>
      <c r="R40" s="13">
        <v>103.5</v>
      </c>
      <c r="S40" s="8">
        <v>6</v>
      </c>
      <c r="T40" s="8">
        <v>0</v>
      </c>
      <c r="U40" s="12">
        <f t="shared" si="7"/>
        <v>-321725</v>
      </c>
      <c r="V40" s="11">
        <f t="shared" si="8"/>
        <v>-5.5372886846028521E-2</v>
      </c>
      <c r="W40" s="11">
        <f t="shared" si="9"/>
        <v>0</v>
      </c>
      <c r="X40" s="8">
        <f t="shared" si="10"/>
        <v>8</v>
      </c>
      <c r="Y40" s="14">
        <f t="shared" si="11"/>
        <v>0.44444444444444442</v>
      </c>
      <c r="Z40" s="12">
        <f t="shared" si="12"/>
        <v>119313.67391304347</v>
      </c>
      <c r="AA40" s="8" t="str">
        <f t="shared" si="13"/>
        <v>Controlado</v>
      </c>
    </row>
    <row r="41" spans="1:27">
      <c r="A41" s="8" t="s">
        <v>198</v>
      </c>
      <c r="B41" s="8" t="s">
        <v>120</v>
      </c>
      <c r="C41" s="8" t="s">
        <v>180</v>
      </c>
      <c r="D41" s="8" t="s">
        <v>199</v>
      </c>
      <c r="E41" s="8" t="s">
        <v>131</v>
      </c>
      <c r="F41" s="9">
        <v>46130</v>
      </c>
      <c r="G41" s="9">
        <v>46138</v>
      </c>
      <c r="H41" s="9"/>
      <c r="I41" s="8" t="s">
        <v>124</v>
      </c>
      <c r="J41" s="8" t="s">
        <v>144</v>
      </c>
      <c r="K41" s="10">
        <v>130</v>
      </c>
      <c r="L41" s="10">
        <v>106.03</v>
      </c>
      <c r="M41" s="11">
        <v>1</v>
      </c>
      <c r="N41" s="11">
        <v>0.81559999999999999</v>
      </c>
      <c r="O41" s="12">
        <v>19693059</v>
      </c>
      <c r="P41" s="12">
        <v>15571642</v>
      </c>
      <c r="Q41" s="13">
        <v>282.10000000000002</v>
      </c>
      <c r="R41" s="13">
        <v>250.1</v>
      </c>
      <c r="S41" s="8">
        <v>8</v>
      </c>
      <c r="T41" s="8">
        <v>0</v>
      </c>
      <c r="U41" s="12">
        <f t="shared" si="7"/>
        <v>-4121417</v>
      </c>
      <c r="V41" s="11">
        <f t="shared" si="8"/>
        <v>-0.20928272240488388</v>
      </c>
      <c r="W41" s="11">
        <f t="shared" si="9"/>
        <v>-0.18440000000000001</v>
      </c>
      <c r="X41" s="8">
        <f t="shared" si="10"/>
        <v>127</v>
      </c>
      <c r="Y41" s="14">
        <f t="shared" si="11"/>
        <v>0.42395041983206716</v>
      </c>
      <c r="Z41" s="12">
        <f t="shared" si="12"/>
        <v>146860.71866452892</v>
      </c>
      <c r="AA41" s="8" t="str">
        <f t="shared" si="13"/>
        <v>Atenção</v>
      </c>
    </row>
    <row r="42" spans="1:27">
      <c r="A42" s="8" t="s">
        <v>200</v>
      </c>
      <c r="B42" s="8" t="s">
        <v>120</v>
      </c>
      <c r="C42" s="8" t="s">
        <v>180</v>
      </c>
      <c r="D42" s="8" t="s">
        <v>201</v>
      </c>
      <c r="E42" s="8" t="s">
        <v>137</v>
      </c>
      <c r="F42" s="9">
        <v>46131</v>
      </c>
      <c r="G42" s="9">
        <v>46141</v>
      </c>
      <c r="H42" s="9"/>
      <c r="I42" s="8" t="s">
        <v>124</v>
      </c>
      <c r="J42" s="8" t="s">
        <v>144</v>
      </c>
      <c r="K42" s="10">
        <v>54</v>
      </c>
      <c r="L42" s="10">
        <v>46.82</v>
      </c>
      <c r="M42" s="11">
        <v>1</v>
      </c>
      <c r="N42" s="11">
        <v>0.86699999999999999</v>
      </c>
      <c r="O42" s="12">
        <v>7750840</v>
      </c>
      <c r="P42" s="12">
        <v>6947553</v>
      </c>
      <c r="Q42" s="13">
        <v>122.4</v>
      </c>
      <c r="R42" s="13">
        <v>110.7</v>
      </c>
      <c r="S42" s="8">
        <v>12</v>
      </c>
      <c r="T42" s="8">
        <v>0</v>
      </c>
      <c r="U42" s="12">
        <f t="shared" si="7"/>
        <v>-803287</v>
      </c>
      <c r="V42" s="11">
        <f t="shared" si="8"/>
        <v>-0.10363870238580593</v>
      </c>
      <c r="W42" s="11">
        <f t="shared" si="9"/>
        <v>-0.13300000000000001</v>
      </c>
      <c r="X42" s="8">
        <f t="shared" si="10"/>
        <v>124</v>
      </c>
      <c r="Y42" s="14">
        <f t="shared" si="11"/>
        <v>0.4229448961156278</v>
      </c>
      <c r="Z42" s="12">
        <f t="shared" si="12"/>
        <v>148388.57325929089</v>
      </c>
      <c r="AA42" s="8" t="str">
        <f t="shared" si="13"/>
        <v>Atenção</v>
      </c>
    </row>
    <row r="43" spans="1:27">
      <c r="A43" s="8" t="s">
        <v>202</v>
      </c>
      <c r="B43" s="8" t="s">
        <v>120</v>
      </c>
      <c r="C43" s="8" t="s">
        <v>180</v>
      </c>
      <c r="D43" s="8" t="s">
        <v>203</v>
      </c>
      <c r="E43" s="8" t="s">
        <v>143</v>
      </c>
      <c r="F43" s="9">
        <v>46134</v>
      </c>
      <c r="G43" s="9">
        <v>46145</v>
      </c>
      <c r="H43" s="9">
        <v>46153</v>
      </c>
      <c r="I43" s="8" t="s">
        <v>134</v>
      </c>
      <c r="J43" s="8" t="s">
        <v>144</v>
      </c>
      <c r="K43" s="10">
        <v>129</v>
      </c>
      <c r="L43" s="10">
        <v>129</v>
      </c>
      <c r="M43" s="11">
        <v>1</v>
      </c>
      <c r="N43" s="11">
        <v>1</v>
      </c>
      <c r="O43" s="12">
        <v>19693290</v>
      </c>
      <c r="P43" s="12">
        <v>18950948</v>
      </c>
      <c r="Q43" s="13">
        <v>222.4</v>
      </c>
      <c r="R43" s="13">
        <v>257.10000000000002</v>
      </c>
      <c r="S43" s="8">
        <v>8</v>
      </c>
      <c r="T43" s="8">
        <v>0</v>
      </c>
      <c r="U43" s="12">
        <f t="shared" si="7"/>
        <v>-742342</v>
      </c>
      <c r="V43" s="11">
        <f t="shared" si="8"/>
        <v>-3.7695174346185932E-2</v>
      </c>
      <c r="W43" s="11">
        <f t="shared" si="9"/>
        <v>0</v>
      </c>
      <c r="X43" s="8">
        <f t="shared" si="10"/>
        <v>8</v>
      </c>
      <c r="Y43" s="14">
        <f t="shared" si="11"/>
        <v>0.50175029171528585</v>
      </c>
      <c r="Z43" s="12">
        <f t="shared" si="12"/>
        <v>146906.57364341084</v>
      </c>
      <c r="AA43" s="8" t="str">
        <f t="shared" si="13"/>
        <v>Controlado</v>
      </c>
    </row>
    <row r="44" spans="1:27">
      <c r="A44" s="8" t="s">
        <v>204</v>
      </c>
      <c r="B44" s="8" t="s">
        <v>120</v>
      </c>
      <c r="C44" s="8" t="s">
        <v>180</v>
      </c>
      <c r="D44" s="8" t="s">
        <v>181</v>
      </c>
      <c r="E44" s="8" t="s">
        <v>137</v>
      </c>
      <c r="F44" s="9">
        <v>46134</v>
      </c>
      <c r="G44" s="9">
        <v>46142</v>
      </c>
      <c r="H44" s="9">
        <v>46142</v>
      </c>
      <c r="I44" s="8" t="s">
        <v>134</v>
      </c>
      <c r="J44" s="8" t="s">
        <v>144</v>
      </c>
      <c r="K44" s="10">
        <v>69</v>
      </c>
      <c r="L44" s="10">
        <v>69</v>
      </c>
      <c r="M44" s="11">
        <v>1</v>
      </c>
      <c r="N44" s="11">
        <v>1</v>
      </c>
      <c r="O44" s="12">
        <v>5879964</v>
      </c>
      <c r="P44" s="12">
        <v>6061689</v>
      </c>
      <c r="Q44" s="13">
        <v>116.8</v>
      </c>
      <c r="R44" s="13">
        <v>109.5</v>
      </c>
      <c r="S44" s="8">
        <v>13</v>
      </c>
      <c r="T44" s="8">
        <v>0</v>
      </c>
      <c r="U44" s="12">
        <f t="shared" si="7"/>
        <v>181725</v>
      </c>
      <c r="V44" s="11">
        <f t="shared" si="8"/>
        <v>3.0905801464090596E-2</v>
      </c>
      <c r="W44" s="11">
        <f t="shared" si="9"/>
        <v>0</v>
      </c>
      <c r="X44" s="8">
        <f t="shared" si="10"/>
        <v>0</v>
      </c>
      <c r="Y44" s="14">
        <f t="shared" si="11"/>
        <v>0.63013698630136983</v>
      </c>
      <c r="Z44" s="12">
        <f t="shared" si="12"/>
        <v>87850.565217391311</v>
      </c>
      <c r="AA44" s="8" t="str">
        <f t="shared" si="13"/>
        <v>Controlado</v>
      </c>
    </row>
    <row r="45" spans="1:27">
      <c r="A45" s="8" t="s">
        <v>205</v>
      </c>
      <c r="B45" s="8" t="s">
        <v>120</v>
      </c>
      <c r="C45" s="8" t="s">
        <v>180</v>
      </c>
      <c r="D45" s="8" t="s">
        <v>183</v>
      </c>
      <c r="E45" s="8" t="s">
        <v>143</v>
      </c>
      <c r="F45" s="9">
        <v>46133</v>
      </c>
      <c r="G45" s="9">
        <v>46149</v>
      </c>
      <c r="H45" s="9">
        <v>46153</v>
      </c>
      <c r="I45" s="8" t="s">
        <v>134</v>
      </c>
      <c r="J45" s="8" t="s">
        <v>144</v>
      </c>
      <c r="K45" s="10">
        <v>45</v>
      </c>
      <c r="L45" s="10">
        <v>45</v>
      </c>
      <c r="M45" s="11">
        <v>1</v>
      </c>
      <c r="N45" s="11">
        <v>1</v>
      </c>
      <c r="O45" s="12">
        <v>8321794</v>
      </c>
      <c r="P45" s="12">
        <v>8489431</v>
      </c>
      <c r="Q45" s="13">
        <v>36.700000000000003</v>
      </c>
      <c r="R45" s="13">
        <v>35.4</v>
      </c>
      <c r="S45" s="8">
        <v>16</v>
      </c>
      <c r="T45" s="8">
        <v>0</v>
      </c>
      <c r="U45" s="12">
        <f t="shared" si="7"/>
        <v>167637</v>
      </c>
      <c r="V45" s="11">
        <f t="shared" si="8"/>
        <v>2.0144334262540024E-2</v>
      </c>
      <c r="W45" s="11">
        <f t="shared" si="9"/>
        <v>0</v>
      </c>
      <c r="X45" s="8">
        <f t="shared" si="10"/>
        <v>4</v>
      </c>
      <c r="Y45" s="14">
        <f t="shared" si="11"/>
        <v>1.271186440677966</v>
      </c>
      <c r="Z45" s="12">
        <f t="shared" si="12"/>
        <v>188654.02222222224</v>
      </c>
      <c r="AA45" s="8" t="str">
        <f t="shared" si="13"/>
        <v>Controlado</v>
      </c>
    </row>
    <row r="46" spans="1:27">
      <c r="A46" s="8" t="s">
        <v>206</v>
      </c>
      <c r="B46" s="8" t="s">
        <v>120</v>
      </c>
      <c r="C46" s="8" t="s">
        <v>180</v>
      </c>
      <c r="D46" s="8" t="s">
        <v>185</v>
      </c>
      <c r="E46" s="8" t="s">
        <v>131</v>
      </c>
      <c r="F46" s="9">
        <v>46135</v>
      </c>
      <c r="G46" s="9">
        <v>46147</v>
      </c>
      <c r="H46" s="9"/>
      <c r="I46" s="8" t="s">
        <v>124</v>
      </c>
      <c r="J46" s="8" t="s">
        <v>144</v>
      </c>
      <c r="K46" s="10">
        <v>88</v>
      </c>
      <c r="L46" s="10">
        <v>78.14</v>
      </c>
      <c r="M46" s="11">
        <v>1</v>
      </c>
      <c r="N46" s="11">
        <v>0.88800000000000001</v>
      </c>
      <c r="O46" s="12">
        <v>13713094</v>
      </c>
      <c r="P46" s="12">
        <v>13022430</v>
      </c>
      <c r="Q46" s="13">
        <v>127.9</v>
      </c>
      <c r="R46" s="13">
        <v>127.8</v>
      </c>
      <c r="S46" s="8">
        <v>13</v>
      </c>
      <c r="T46" s="8">
        <v>0</v>
      </c>
      <c r="U46" s="12">
        <f t="shared" si="7"/>
        <v>-690664</v>
      </c>
      <c r="V46" s="11">
        <f t="shared" si="8"/>
        <v>-5.0365293200790424E-2</v>
      </c>
      <c r="W46" s="11">
        <f t="shared" si="9"/>
        <v>-0.11199999999999999</v>
      </c>
      <c r="X46" s="8">
        <f t="shared" si="10"/>
        <v>118</v>
      </c>
      <c r="Y46" s="14">
        <f t="shared" si="11"/>
        <v>0.61142410015649451</v>
      </c>
      <c r="Z46" s="12">
        <f t="shared" si="12"/>
        <v>166655.10621960583</v>
      </c>
      <c r="AA46" s="8" t="str">
        <f t="shared" si="13"/>
        <v>Atenção</v>
      </c>
    </row>
    <row r="47" spans="1:27">
      <c r="A47" s="8" t="s">
        <v>207</v>
      </c>
      <c r="B47" s="8" t="s">
        <v>120</v>
      </c>
      <c r="C47" s="8" t="s">
        <v>180</v>
      </c>
      <c r="D47" s="8" t="s">
        <v>187</v>
      </c>
      <c r="E47" s="8" t="s">
        <v>143</v>
      </c>
      <c r="F47" s="9">
        <v>46140</v>
      </c>
      <c r="G47" s="9">
        <v>46148</v>
      </c>
      <c r="H47" s="9">
        <v>46158</v>
      </c>
      <c r="I47" s="8" t="s">
        <v>134</v>
      </c>
      <c r="J47" s="8" t="s">
        <v>144</v>
      </c>
      <c r="K47" s="10">
        <v>82</v>
      </c>
      <c r="L47" s="10">
        <v>82</v>
      </c>
      <c r="M47" s="11">
        <v>1</v>
      </c>
      <c r="N47" s="11">
        <v>1</v>
      </c>
      <c r="O47" s="12">
        <v>11656891</v>
      </c>
      <c r="P47" s="12">
        <v>11876109</v>
      </c>
      <c r="Q47" s="13">
        <v>97.4</v>
      </c>
      <c r="R47" s="13">
        <v>113.5</v>
      </c>
      <c r="S47" s="8">
        <v>8</v>
      </c>
      <c r="T47" s="8">
        <v>0</v>
      </c>
      <c r="U47" s="12">
        <f t="shared" si="7"/>
        <v>219218</v>
      </c>
      <c r="V47" s="11">
        <f t="shared" si="8"/>
        <v>1.8805871994513803E-2</v>
      </c>
      <c r="W47" s="11">
        <f t="shared" si="9"/>
        <v>0</v>
      </c>
      <c r="X47" s="8">
        <f t="shared" si="10"/>
        <v>10</v>
      </c>
      <c r="Y47" s="14">
        <f t="shared" si="11"/>
        <v>0.72246696035242286</v>
      </c>
      <c r="Z47" s="12">
        <f t="shared" si="12"/>
        <v>144830.59756097561</v>
      </c>
      <c r="AA47" s="8" t="str">
        <f t="shared" si="13"/>
        <v>Controlado</v>
      </c>
    </row>
    <row r="48" spans="1:27">
      <c r="A48" s="8" t="s">
        <v>208</v>
      </c>
      <c r="B48" s="8" t="s">
        <v>120</v>
      </c>
      <c r="C48" s="8" t="s">
        <v>180</v>
      </c>
      <c r="D48" s="8" t="s">
        <v>189</v>
      </c>
      <c r="E48" s="8" t="s">
        <v>137</v>
      </c>
      <c r="F48" s="9">
        <v>46140</v>
      </c>
      <c r="G48" s="9">
        <v>46154</v>
      </c>
      <c r="H48" s="9">
        <v>46155</v>
      </c>
      <c r="I48" s="8" t="s">
        <v>134</v>
      </c>
      <c r="J48" s="8" t="s">
        <v>144</v>
      </c>
      <c r="K48" s="10">
        <v>96</v>
      </c>
      <c r="L48" s="10">
        <v>96</v>
      </c>
      <c r="M48" s="11">
        <v>1</v>
      </c>
      <c r="N48" s="11">
        <v>1</v>
      </c>
      <c r="O48" s="12">
        <v>8022946</v>
      </c>
      <c r="P48" s="12">
        <v>8855625</v>
      </c>
      <c r="Q48" s="13">
        <v>151</v>
      </c>
      <c r="R48" s="13">
        <v>157.4</v>
      </c>
      <c r="S48" s="8">
        <v>17</v>
      </c>
      <c r="T48" s="8">
        <v>0</v>
      </c>
      <c r="U48" s="12">
        <f t="shared" si="7"/>
        <v>832679</v>
      </c>
      <c r="V48" s="11">
        <f t="shared" si="8"/>
        <v>0.10378718739974069</v>
      </c>
      <c r="W48" s="11">
        <f t="shared" si="9"/>
        <v>0</v>
      </c>
      <c r="X48" s="8">
        <f t="shared" si="10"/>
        <v>1</v>
      </c>
      <c r="Y48" s="14">
        <f t="shared" si="11"/>
        <v>0.60991105463786532</v>
      </c>
      <c r="Z48" s="12">
        <f t="shared" si="12"/>
        <v>92246.09375</v>
      </c>
      <c r="AA48" s="8" t="str">
        <f t="shared" si="13"/>
        <v>Crítico</v>
      </c>
    </row>
    <row r="49" spans="1:27">
      <c r="A49" s="8" t="s">
        <v>209</v>
      </c>
      <c r="B49" s="8" t="s">
        <v>120</v>
      </c>
      <c r="C49" s="8" t="s">
        <v>180</v>
      </c>
      <c r="D49" s="8" t="s">
        <v>191</v>
      </c>
      <c r="E49" s="8" t="s">
        <v>143</v>
      </c>
      <c r="F49" s="9">
        <v>46139</v>
      </c>
      <c r="G49" s="9">
        <v>46148</v>
      </c>
      <c r="H49" s="9">
        <v>46148</v>
      </c>
      <c r="I49" s="8" t="s">
        <v>134</v>
      </c>
      <c r="J49" s="8" t="s">
        <v>144</v>
      </c>
      <c r="K49" s="10">
        <v>52</v>
      </c>
      <c r="L49" s="10">
        <v>52</v>
      </c>
      <c r="M49" s="11">
        <v>1</v>
      </c>
      <c r="N49" s="11">
        <v>1</v>
      </c>
      <c r="O49" s="12">
        <v>7570969</v>
      </c>
      <c r="P49" s="12">
        <v>7608648</v>
      </c>
      <c r="Q49" s="13">
        <v>123.3</v>
      </c>
      <c r="R49" s="13">
        <v>124.3</v>
      </c>
      <c r="S49" s="8">
        <v>16</v>
      </c>
      <c r="T49" s="8">
        <v>0</v>
      </c>
      <c r="U49" s="12">
        <f t="shared" si="7"/>
        <v>37679</v>
      </c>
      <c r="V49" s="11">
        <f t="shared" si="8"/>
        <v>4.9767737788914473E-3</v>
      </c>
      <c r="W49" s="11">
        <f t="shared" si="9"/>
        <v>0</v>
      </c>
      <c r="X49" s="8">
        <f t="shared" si="10"/>
        <v>0</v>
      </c>
      <c r="Y49" s="14">
        <f t="shared" si="11"/>
        <v>0.41834271922767496</v>
      </c>
      <c r="Z49" s="12">
        <f t="shared" si="12"/>
        <v>146320.15384615384</v>
      </c>
      <c r="AA49" s="8" t="str">
        <f t="shared" si="13"/>
        <v>Controlado</v>
      </c>
    </row>
    <row r="50" spans="1:27">
      <c r="A50" s="8" t="s">
        <v>210</v>
      </c>
      <c r="B50" s="8" t="s">
        <v>120</v>
      </c>
      <c r="C50" s="8" t="s">
        <v>180</v>
      </c>
      <c r="D50" s="8" t="s">
        <v>193</v>
      </c>
      <c r="E50" s="8" t="s">
        <v>128</v>
      </c>
      <c r="F50" s="9">
        <v>46140</v>
      </c>
      <c r="G50" s="9">
        <v>46155</v>
      </c>
      <c r="H50" s="9"/>
      <c r="I50" s="8" t="s">
        <v>124</v>
      </c>
      <c r="J50" s="8" t="s">
        <v>144</v>
      </c>
      <c r="K50" s="10">
        <v>92</v>
      </c>
      <c r="L50" s="10">
        <v>74.37</v>
      </c>
      <c r="M50" s="11">
        <v>1</v>
      </c>
      <c r="N50" s="11">
        <v>0.80840000000000001</v>
      </c>
      <c r="O50" s="12">
        <v>16823193</v>
      </c>
      <c r="P50" s="12">
        <v>14271815</v>
      </c>
      <c r="Q50" s="13">
        <v>65.5</v>
      </c>
      <c r="R50" s="13">
        <v>51.4</v>
      </c>
      <c r="S50" s="8">
        <v>18</v>
      </c>
      <c r="T50" s="8">
        <v>0</v>
      </c>
      <c r="U50" s="12">
        <f t="shared" si="7"/>
        <v>-2551378</v>
      </c>
      <c r="V50" s="11">
        <f t="shared" si="8"/>
        <v>-0.15165836830142768</v>
      </c>
      <c r="W50" s="11">
        <f t="shared" si="9"/>
        <v>-0.19159999999999999</v>
      </c>
      <c r="X50" s="8">
        <f t="shared" si="10"/>
        <v>110</v>
      </c>
      <c r="Y50" s="14">
        <f t="shared" si="11"/>
        <v>1.4468871595330741</v>
      </c>
      <c r="Z50" s="12">
        <f t="shared" si="12"/>
        <v>191902.85061180583</v>
      </c>
      <c r="AA50" s="8" t="str">
        <f t="shared" si="13"/>
        <v>Atenção</v>
      </c>
    </row>
    <row r="51" spans="1:27">
      <c r="A51" s="8" t="s">
        <v>211</v>
      </c>
      <c r="B51" s="8" t="s">
        <v>120</v>
      </c>
      <c r="C51" s="8" t="s">
        <v>180</v>
      </c>
      <c r="D51" s="8" t="s">
        <v>195</v>
      </c>
      <c r="E51" s="8" t="s">
        <v>131</v>
      </c>
      <c r="F51" s="9">
        <v>46141</v>
      </c>
      <c r="G51" s="9">
        <v>46151</v>
      </c>
      <c r="H51" s="9"/>
      <c r="I51" s="8" t="s">
        <v>124</v>
      </c>
      <c r="J51" s="8" t="s">
        <v>144</v>
      </c>
      <c r="K51" s="10">
        <v>116</v>
      </c>
      <c r="L51" s="10">
        <v>111.2</v>
      </c>
      <c r="M51" s="11">
        <v>1</v>
      </c>
      <c r="N51" s="11">
        <v>0.95860000000000001</v>
      </c>
      <c r="O51" s="12">
        <v>14801921</v>
      </c>
      <c r="P51" s="12">
        <v>15843864</v>
      </c>
      <c r="Q51" s="13">
        <v>115.9</v>
      </c>
      <c r="R51" s="13">
        <v>109.4</v>
      </c>
      <c r="S51" s="8">
        <v>6</v>
      </c>
      <c r="T51" s="8">
        <v>0</v>
      </c>
      <c r="U51" s="12">
        <f t="shared" si="7"/>
        <v>1041943</v>
      </c>
      <c r="V51" s="11">
        <f t="shared" si="8"/>
        <v>7.0392417308537181E-2</v>
      </c>
      <c r="W51" s="11">
        <f t="shared" si="9"/>
        <v>-4.1399999999999992E-2</v>
      </c>
      <c r="X51" s="8">
        <f t="shared" si="10"/>
        <v>114</v>
      </c>
      <c r="Y51" s="14">
        <f t="shared" si="11"/>
        <v>1.0164533820840951</v>
      </c>
      <c r="Z51" s="12">
        <f t="shared" si="12"/>
        <v>142480.79136690646</v>
      </c>
      <c r="AA51" s="8" t="str">
        <f t="shared" si="13"/>
        <v>Controlado</v>
      </c>
    </row>
    <row r="52" spans="1:27">
      <c r="A52" s="8" t="s">
        <v>212</v>
      </c>
      <c r="B52" s="8" t="s">
        <v>120</v>
      </c>
      <c r="C52" s="8" t="s">
        <v>180</v>
      </c>
      <c r="D52" s="8" t="s">
        <v>197</v>
      </c>
      <c r="E52" s="8" t="s">
        <v>137</v>
      </c>
      <c r="F52" s="9">
        <v>46146</v>
      </c>
      <c r="G52" s="9">
        <v>46161</v>
      </c>
      <c r="H52" s="9">
        <v>46158</v>
      </c>
      <c r="I52" s="8" t="s">
        <v>134</v>
      </c>
      <c r="J52" s="8" t="s">
        <v>144</v>
      </c>
      <c r="K52" s="10">
        <v>73</v>
      </c>
      <c r="L52" s="10">
        <v>73</v>
      </c>
      <c r="M52" s="11">
        <v>1</v>
      </c>
      <c r="N52" s="11">
        <v>1</v>
      </c>
      <c r="O52" s="12">
        <v>8657024</v>
      </c>
      <c r="P52" s="12">
        <v>8181532</v>
      </c>
      <c r="Q52" s="13">
        <v>90.1</v>
      </c>
      <c r="R52" s="13">
        <v>101.8</v>
      </c>
      <c r="S52" s="8">
        <v>9</v>
      </c>
      <c r="T52" s="8">
        <v>0</v>
      </c>
      <c r="U52" s="12">
        <f t="shared" si="7"/>
        <v>-475492</v>
      </c>
      <c r="V52" s="11">
        <f t="shared" si="8"/>
        <v>-5.4925572575517868E-2</v>
      </c>
      <c r="W52" s="11">
        <f t="shared" si="9"/>
        <v>0</v>
      </c>
      <c r="X52" s="8">
        <f t="shared" si="10"/>
        <v>0</v>
      </c>
      <c r="Y52" s="14">
        <f t="shared" si="11"/>
        <v>0.71709233791748528</v>
      </c>
      <c r="Z52" s="12">
        <f t="shared" si="12"/>
        <v>112075.78082191781</v>
      </c>
      <c r="AA52" s="8" t="str">
        <f t="shared" si="13"/>
        <v>Controlado</v>
      </c>
    </row>
    <row r="53" spans="1:27">
      <c r="A53" s="8" t="s">
        <v>213</v>
      </c>
      <c r="B53" s="8" t="s">
        <v>120</v>
      </c>
      <c r="C53" s="8" t="s">
        <v>180</v>
      </c>
      <c r="D53" s="8" t="s">
        <v>199</v>
      </c>
      <c r="E53" s="8" t="s">
        <v>123</v>
      </c>
      <c r="F53" s="9">
        <v>46146</v>
      </c>
      <c r="G53" s="9">
        <v>46150</v>
      </c>
      <c r="H53" s="9"/>
      <c r="I53" s="8" t="s">
        <v>124</v>
      </c>
      <c r="J53" s="8" t="s">
        <v>144</v>
      </c>
      <c r="K53" s="10">
        <v>113</v>
      </c>
      <c r="L53" s="10">
        <v>100.49</v>
      </c>
      <c r="M53" s="11">
        <v>1</v>
      </c>
      <c r="N53" s="11">
        <v>0.88929999999999998</v>
      </c>
      <c r="O53" s="12">
        <v>14771088</v>
      </c>
      <c r="P53" s="12">
        <v>12215832</v>
      </c>
      <c r="Q53" s="13">
        <v>203.3</v>
      </c>
      <c r="R53" s="13">
        <v>208</v>
      </c>
      <c r="S53" s="8">
        <v>4</v>
      </c>
      <c r="T53" s="8">
        <v>0</v>
      </c>
      <c r="U53" s="12">
        <f t="shared" si="7"/>
        <v>-2555256</v>
      </c>
      <c r="V53" s="11">
        <f t="shared" si="8"/>
        <v>-0.1729903714607888</v>
      </c>
      <c r="W53" s="11">
        <f t="shared" si="9"/>
        <v>-0.11070000000000002</v>
      </c>
      <c r="X53" s="8">
        <f t="shared" si="10"/>
        <v>115</v>
      </c>
      <c r="Y53" s="14">
        <f t="shared" si="11"/>
        <v>0.48312499999999997</v>
      </c>
      <c r="Z53" s="12">
        <f t="shared" si="12"/>
        <v>121562.66295153747</v>
      </c>
      <c r="AA53" s="8" t="str">
        <f t="shared" si="13"/>
        <v>Atenção</v>
      </c>
    </row>
    <row r="54" spans="1:27">
      <c r="A54" s="8" t="s">
        <v>214</v>
      </c>
      <c r="B54" s="8" t="s">
        <v>120</v>
      </c>
      <c r="C54" s="8" t="s">
        <v>180</v>
      </c>
      <c r="D54" s="8" t="s">
        <v>201</v>
      </c>
      <c r="E54" s="8" t="s">
        <v>143</v>
      </c>
      <c r="F54" s="9">
        <v>46146</v>
      </c>
      <c r="G54" s="9">
        <v>46155</v>
      </c>
      <c r="H54" s="9">
        <v>46155</v>
      </c>
      <c r="I54" s="8" t="s">
        <v>134</v>
      </c>
      <c r="J54" s="8" t="s">
        <v>144</v>
      </c>
      <c r="K54" s="10">
        <v>42</v>
      </c>
      <c r="L54" s="10">
        <v>42</v>
      </c>
      <c r="M54" s="11">
        <v>1</v>
      </c>
      <c r="N54" s="11">
        <v>1</v>
      </c>
      <c r="O54" s="12">
        <v>3856033</v>
      </c>
      <c r="P54" s="12">
        <v>4008420</v>
      </c>
      <c r="Q54" s="13">
        <v>50.6</v>
      </c>
      <c r="R54" s="13">
        <v>59.4</v>
      </c>
      <c r="S54" s="8">
        <v>7</v>
      </c>
      <c r="T54" s="8">
        <v>0</v>
      </c>
      <c r="U54" s="12">
        <f t="shared" si="7"/>
        <v>152387</v>
      </c>
      <c r="V54" s="11">
        <f t="shared" si="8"/>
        <v>3.9519111999300839E-2</v>
      </c>
      <c r="W54" s="11">
        <f t="shared" si="9"/>
        <v>0</v>
      </c>
      <c r="X54" s="8">
        <f t="shared" si="10"/>
        <v>0</v>
      </c>
      <c r="Y54" s="14">
        <f t="shared" si="11"/>
        <v>0.70707070707070707</v>
      </c>
      <c r="Z54" s="12">
        <f t="shared" si="12"/>
        <v>95438.571428571435</v>
      </c>
      <c r="AA54" s="8" t="str">
        <f t="shared" si="13"/>
        <v>Controlado</v>
      </c>
    </row>
    <row r="55" spans="1:27">
      <c r="A55" s="8" t="s">
        <v>215</v>
      </c>
      <c r="B55" s="8" t="s">
        <v>120</v>
      </c>
      <c r="C55" s="8" t="s">
        <v>180</v>
      </c>
      <c r="D55" s="8" t="s">
        <v>203</v>
      </c>
      <c r="E55" s="8" t="s">
        <v>137</v>
      </c>
      <c r="F55" s="9">
        <v>46146</v>
      </c>
      <c r="G55" s="9">
        <v>46159</v>
      </c>
      <c r="H55" s="9"/>
      <c r="I55" s="8" t="s">
        <v>124</v>
      </c>
      <c r="J55" s="8" t="s">
        <v>144</v>
      </c>
      <c r="K55" s="10">
        <v>94</v>
      </c>
      <c r="L55" s="10">
        <v>90.86</v>
      </c>
      <c r="M55" s="11">
        <v>1</v>
      </c>
      <c r="N55" s="11">
        <v>0.96660000000000001</v>
      </c>
      <c r="O55" s="12">
        <v>10661324</v>
      </c>
      <c r="P55" s="12">
        <v>10467218</v>
      </c>
      <c r="Q55" s="13">
        <v>104.7</v>
      </c>
      <c r="R55" s="13">
        <v>110.6</v>
      </c>
      <c r="S55" s="8">
        <v>7</v>
      </c>
      <c r="T55" s="8">
        <v>0</v>
      </c>
      <c r="U55" s="12">
        <f t="shared" si="7"/>
        <v>-194106</v>
      </c>
      <c r="V55" s="11">
        <f t="shared" si="8"/>
        <v>-1.8206556709091666E-2</v>
      </c>
      <c r="W55" s="11">
        <f t="shared" si="9"/>
        <v>-3.3399999999999985E-2</v>
      </c>
      <c r="X55" s="8">
        <f t="shared" si="10"/>
        <v>106</v>
      </c>
      <c r="Y55" s="14">
        <f t="shared" si="11"/>
        <v>0.8215189873417722</v>
      </c>
      <c r="Z55" s="12">
        <f t="shared" si="12"/>
        <v>115201.60686770856</v>
      </c>
      <c r="AA55" s="8" t="str">
        <f t="shared" si="13"/>
        <v>Controlado</v>
      </c>
    </row>
    <row r="56" spans="1:27">
      <c r="A56" s="8" t="s">
        <v>216</v>
      </c>
      <c r="B56" s="8" t="s">
        <v>120</v>
      </c>
      <c r="C56" s="8" t="s">
        <v>180</v>
      </c>
      <c r="D56" s="8" t="s">
        <v>181</v>
      </c>
      <c r="E56" s="8" t="s">
        <v>131</v>
      </c>
      <c r="F56" s="9">
        <v>46145</v>
      </c>
      <c r="G56" s="9">
        <v>46160</v>
      </c>
      <c r="H56" s="9"/>
      <c r="I56" s="8" t="s">
        <v>124</v>
      </c>
      <c r="J56" s="8" t="s">
        <v>144</v>
      </c>
      <c r="K56" s="10">
        <v>123</v>
      </c>
      <c r="L56" s="10">
        <v>117.15</v>
      </c>
      <c r="M56" s="11">
        <v>1</v>
      </c>
      <c r="N56" s="11">
        <v>0.95250000000000001</v>
      </c>
      <c r="O56" s="12">
        <v>18950564</v>
      </c>
      <c r="P56" s="12">
        <v>17830252</v>
      </c>
      <c r="Q56" s="13">
        <v>249.3</v>
      </c>
      <c r="R56" s="13">
        <v>249.8</v>
      </c>
      <c r="S56" s="8">
        <v>5</v>
      </c>
      <c r="T56" s="8">
        <v>1</v>
      </c>
      <c r="U56" s="12">
        <f t="shared" si="7"/>
        <v>-1120312</v>
      </c>
      <c r="V56" s="11">
        <f t="shared" si="8"/>
        <v>-5.9117607264881404E-2</v>
      </c>
      <c r="W56" s="11">
        <f t="shared" si="9"/>
        <v>-4.7499999999999987E-2</v>
      </c>
      <c r="X56" s="8">
        <f t="shared" si="10"/>
        <v>105</v>
      </c>
      <c r="Y56" s="14">
        <f t="shared" si="11"/>
        <v>0.46897518014411527</v>
      </c>
      <c r="Z56" s="12">
        <f t="shared" si="12"/>
        <v>152200.18779342723</v>
      </c>
      <c r="AA56" s="8" t="str">
        <f t="shared" si="13"/>
        <v>Controlado</v>
      </c>
    </row>
    <row r="57" spans="1:27">
      <c r="A57" s="8" t="s">
        <v>217</v>
      </c>
      <c r="B57" s="8" t="s">
        <v>120</v>
      </c>
      <c r="C57" s="8" t="s">
        <v>180</v>
      </c>
      <c r="D57" s="8" t="s">
        <v>183</v>
      </c>
      <c r="E57" s="8" t="s">
        <v>137</v>
      </c>
      <c r="F57" s="9">
        <v>46150</v>
      </c>
      <c r="G57" s="9">
        <v>46155</v>
      </c>
      <c r="H57" s="9">
        <v>46156</v>
      </c>
      <c r="I57" s="8" t="s">
        <v>134</v>
      </c>
      <c r="J57" s="8" t="s">
        <v>144</v>
      </c>
      <c r="K57" s="10">
        <v>53</v>
      </c>
      <c r="L57" s="10">
        <v>53</v>
      </c>
      <c r="M57" s="11">
        <v>1</v>
      </c>
      <c r="N57" s="11">
        <v>1</v>
      </c>
      <c r="O57" s="12">
        <v>4300323</v>
      </c>
      <c r="P57" s="12">
        <v>4763366</v>
      </c>
      <c r="Q57" s="13">
        <v>94.4</v>
      </c>
      <c r="R57" s="13">
        <v>103.4</v>
      </c>
      <c r="S57" s="8">
        <v>11</v>
      </c>
      <c r="T57" s="8">
        <v>0</v>
      </c>
      <c r="U57" s="12">
        <f t="shared" si="7"/>
        <v>463043</v>
      </c>
      <c r="V57" s="11">
        <f t="shared" si="8"/>
        <v>0.10767633035937069</v>
      </c>
      <c r="W57" s="11">
        <f t="shared" si="9"/>
        <v>0</v>
      </c>
      <c r="X57" s="8">
        <f t="shared" si="10"/>
        <v>1</v>
      </c>
      <c r="Y57" s="14">
        <f t="shared" si="11"/>
        <v>0.5125725338491296</v>
      </c>
      <c r="Z57" s="12">
        <f t="shared" si="12"/>
        <v>89874.830188679247</v>
      </c>
      <c r="AA57" s="8" t="str">
        <f t="shared" si="13"/>
        <v>Crítico</v>
      </c>
    </row>
    <row r="58" spans="1:27">
      <c r="A58" s="8" t="s">
        <v>218</v>
      </c>
      <c r="B58" s="8" t="s">
        <v>120</v>
      </c>
      <c r="C58" s="8" t="s">
        <v>180</v>
      </c>
      <c r="D58" s="8" t="s">
        <v>185</v>
      </c>
      <c r="E58" s="8" t="s">
        <v>131</v>
      </c>
      <c r="F58" s="9">
        <v>46149</v>
      </c>
      <c r="G58" s="9">
        <v>46153</v>
      </c>
      <c r="H58" s="9"/>
      <c r="I58" s="8" t="s">
        <v>124</v>
      </c>
      <c r="J58" s="8" t="s">
        <v>144</v>
      </c>
      <c r="K58" s="10">
        <v>75</v>
      </c>
      <c r="L58" s="10">
        <v>61.88</v>
      </c>
      <c r="M58" s="11">
        <v>1</v>
      </c>
      <c r="N58" s="11">
        <v>0.82509999999999994</v>
      </c>
      <c r="O58" s="12">
        <v>13733338</v>
      </c>
      <c r="P58" s="12">
        <v>10640371</v>
      </c>
      <c r="Q58" s="13">
        <v>79.2</v>
      </c>
      <c r="R58" s="13">
        <v>64.5</v>
      </c>
      <c r="S58" s="8">
        <v>9</v>
      </c>
      <c r="T58" s="8">
        <v>0</v>
      </c>
      <c r="U58" s="12">
        <f t="shared" si="7"/>
        <v>-3092967</v>
      </c>
      <c r="V58" s="11">
        <f t="shared" si="8"/>
        <v>-0.2252159671596228</v>
      </c>
      <c r="W58" s="11">
        <f t="shared" si="9"/>
        <v>-0.17490000000000006</v>
      </c>
      <c r="X58" s="8">
        <f t="shared" si="10"/>
        <v>112</v>
      </c>
      <c r="Y58" s="14">
        <f t="shared" si="11"/>
        <v>0.9593798449612404</v>
      </c>
      <c r="Z58" s="12">
        <f t="shared" si="12"/>
        <v>171951.69683257918</v>
      </c>
      <c r="AA58" s="8" t="str">
        <f t="shared" si="13"/>
        <v>Atenção</v>
      </c>
    </row>
    <row r="59" spans="1:27">
      <c r="A59" s="8" t="s">
        <v>219</v>
      </c>
      <c r="B59" s="8" t="s">
        <v>120</v>
      </c>
      <c r="C59" s="8" t="s">
        <v>180</v>
      </c>
      <c r="D59" s="8" t="s">
        <v>187</v>
      </c>
      <c r="E59" s="8" t="s">
        <v>128</v>
      </c>
      <c r="F59" s="9">
        <v>46151</v>
      </c>
      <c r="G59" s="9">
        <v>46155</v>
      </c>
      <c r="H59" s="9"/>
      <c r="I59" s="8" t="s">
        <v>124</v>
      </c>
      <c r="J59" s="8" t="s">
        <v>144</v>
      </c>
      <c r="K59" s="10">
        <v>125</v>
      </c>
      <c r="L59" s="10">
        <v>98.12</v>
      </c>
      <c r="M59" s="11">
        <v>1</v>
      </c>
      <c r="N59" s="11">
        <v>0.78500000000000003</v>
      </c>
      <c r="O59" s="12">
        <v>16497854</v>
      </c>
      <c r="P59" s="12">
        <v>14077768</v>
      </c>
      <c r="Q59" s="13">
        <v>114.2</v>
      </c>
      <c r="R59" s="13">
        <v>82.9</v>
      </c>
      <c r="S59" s="8">
        <v>15</v>
      </c>
      <c r="T59" s="8">
        <v>0</v>
      </c>
      <c r="U59" s="12">
        <f t="shared" si="7"/>
        <v>-2420086</v>
      </c>
      <c r="V59" s="11">
        <f t="shared" si="8"/>
        <v>-0.14669095750271521</v>
      </c>
      <c r="W59" s="11">
        <f t="shared" si="9"/>
        <v>-0.21499999999999997</v>
      </c>
      <c r="X59" s="8">
        <f t="shared" si="10"/>
        <v>110</v>
      </c>
      <c r="Y59" s="14">
        <f t="shared" si="11"/>
        <v>1.1835946924004825</v>
      </c>
      <c r="Z59" s="12">
        <f t="shared" si="12"/>
        <v>143475.01019160211</v>
      </c>
      <c r="AA59" s="8" t="str">
        <f t="shared" si="13"/>
        <v>Atenção</v>
      </c>
    </row>
    <row r="60" spans="1:27">
      <c r="A60" s="8" t="s">
        <v>220</v>
      </c>
      <c r="B60" s="8" t="s">
        <v>120</v>
      </c>
      <c r="C60" s="8" t="s">
        <v>180</v>
      </c>
      <c r="D60" s="8" t="s">
        <v>189</v>
      </c>
      <c r="E60" s="8" t="s">
        <v>131</v>
      </c>
      <c r="F60" s="9">
        <v>46153</v>
      </c>
      <c r="G60" s="9">
        <v>46165</v>
      </c>
      <c r="H60" s="9"/>
      <c r="I60" s="8" t="s">
        <v>124</v>
      </c>
      <c r="J60" s="8" t="s">
        <v>144</v>
      </c>
      <c r="K60" s="10">
        <v>99</v>
      </c>
      <c r="L60" s="10">
        <v>82.69</v>
      </c>
      <c r="M60" s="11">
        <v>1</v>
      </c>
      <c r="N60" s="11">
        <v>0.83530000000000004</v>
      </c>
      <c r="O60" s="12">
        <v>11994575</v>
      </c>
      <c r="P60" s="12">
        <v>10266815</v>
      </c>
      <c r="Q60" s="13">
        <v>236.3</v>
      </c>
      <c r="R60" s="13">
        <v>191.9</v>
      </c>
      <c r="S60" s="8">
        <v>16</v>
      </c>
      <c r="T60" s="8">
        <v>0</v>
      </c>
      <c r="U60" s="12">
        <f t="shared" si="7"/>
        <v>-1727760</v>
      </c>
      <c r="V60" s="11">
        <f t="shared" si="8"/>
        <v>-0.14404512039818002</v>
      </c>
      <c r="W60" s="11">
        <f t="shared" si="9"/>
        <v>-0.16469999999999996</v>
      </c>
      <c r="X60" s="8">
        <f t="shared" si="10"/>
        <v>100</v>
      </c>
      <c r="Y60" s="14">
        <f t="shared" si="11"/>
        <v>0.43090151120375192</v>
      </c>
      <c r="Z60" s="12">
        <f t="shared" si="12"/>
        <v>124160.29749667433</v>
      </c>
      <c r="AA60" s="8" t="str">
        <f t="shared" si="13"/>
        <v>Atenção</v>
      </c>
    </row>
    <row r="61" spans="1:27">
      <c r="A61" s="8" t="s">
        <v>221</v>
      </c>
      <c r="B61" s="8" t="s">
        <v>120</v>
      </c>
      <c r="C61" s="8" t="s">
        <v>180</v>
      </c>
      <c r="D61" s="8" t="s">
        <v>191</v>
      </c>
      <c r="E61" s="8" t="s">
        <v>123</v>
      </c>
      <c r="F61" s="9">
        <v>46151</v>
      </c>
      <c r="G61" s="9">
        <v>46166</v>
      </c>
      <c r="H61" s="9">
        <v>46174</v>
      </c>
      <c r="I61" s="8" t="s">
        <v>134</v>
      </c>
      <c r="J61" s="8" t="s">
        <v>144</v>
      </c>
      <c r="K61" s="10">
        <v>98</v>
      </c>
      <c r="L61" s="10">
        <v>98</v>
      </c>
      <c r="M61" s="11">
        <v>1</v>
      </c>
      <c r="N61" s="11">
        <v>1</v>
      </c>
      <c r="O61" s="12">
        <v>11895167</v>
      </c>
      <c r="P61" s="12">
        <v>11232609</v>
      </c>
      <c r="Q61" s="13">
        <v>273.2</v>
      </c>
      <c r="R61" s="13">
        <v>262.60000000000002</v>
      </c>
      <c r="S61" s="8">
        <v>17</v>
      </c>
      <c r="T61" s="8">
        <v>0</v>
      </c>
      <c r="U61" s="12">
        <f t="shared" si="7"/>
        <v>-662558</v>
      </c>
      <c r="V61" s="11">
        <f t="shared" si="8"/>
        <v>-5.5699764450553739E-2</v>
      </c>
      <c r="W61" s="11">
        <f t="shared" si="9"/>
        <v>0</v>
      </c>
      <c r="X61" s="8">
        <f t="shared" si="10"/>
        <v>8</v>
      </c>
      <c r="Y61" s="14">
        <f t="shared" si="11"/>
        <v>0.37319116527037316</v>
      </c>
      <c r="Z61" s="12">
        <f t="shared" si="12"/>
        <v>114618.45918367348</v>
      </c>
      <c r="AA61" s="8" t="str">
        <f t="shared" si="13"/>
        <v>Controlado</v>
      </c>
    </row>
    <row r="62" spans="1:27">
      <c r="A62" s="8" t="s">
        <v>222</v>
      </c>
      <c r="B62" s="8" t="s">
        <v>120</v>
      </c>
      <c r="C62" s="8" t="s">
        <v>180</v>
      </c>
      <c r="D62" s="8" t="s">
        <v>193</v>
      </c>
      <c r="E62" s="8" t="s">
        <v>131</v>
      </c>
      <c r="F62" s="9">
        <v>46153</v>
      </c>
      <c r="G62" s="9">
        <v>46167</v>
      </c>
      <c r="H62" s="9">
        <v>46167</v>
      </c>
      <c r="I62" s="8" t="s">
        <v>134</v>
      </c>
      <c r="J62" s="8" t="s">
        <v>144</v>
      </c>
      <c r="K62" s="10">
        <v>56</v>
      </c>
      <c r="L62" s="10">
        <v>56</v>
      </c>
      <c r="M62" s="11">
        <v>1</v>
      </c>
      <c r="N62" s="11">
        <v>1</v>
      </c>
      <c r="O62" s="12">
        <v>5724791</v>
      </c>
      <c r="P62" s="12">
        <v>6322940</v>
      </c>
      <c r="Q62" s="13">
        <v>76.400000000000006</v>
      </c>
      <c r="R62" s="13">
        <v>84.3</v>
      </c>
      <c r="S62" s="8">
        <v>11</v>
      </c>
      <c r="T62" s="8">
        <v>0</v>
      </c>
      <c r="U62" s="12">
        <f t="shared" si="7"/>
        <v>598149</v>
      </c>
      <c r="V62" s="11">
        <f t="shared" si="8"/>
        <v>0.10448398902248135</v>
      </c>
      <c r="W62" s="11">
        <f t="shared" si="9"/>
        <v>0</v>
      </c>
      <c r="X62" s="8">
        <f t="shared" si="10"/>
        <v>0</v>
      </c>
      <c r="Y62" s="14">
        <f t="shared" si="11"/>
        <v>0.66429418742585999</v>
      </c>
      <c r="Z62" s="12">
        <f t="shared" si="12"/>
        <v>112909.64285714286</v>
      </c>
      <c r="AA62" s="8" t="str">
        <f t="shared" si="13"/>
        <v>Crítico</v>
      </c>
    </row>
    <row r="63" spans="1:27">
      <c r="A63" s="8" t="s">
        <v>223</v>
      </c>
      <c r="B63" s="8" t="s">
        <v>120</v>
      </c>
      <c r="C63" s="8" t="s">
        <v>180</v>
      </c>
      <c r="D63" s="8" t="s">
        <v>195</v>
      </c>
      <c r="E63" s="8" t="s">
        <v>143</v>
      </c>
      <c r="F63" s="9">
        <v>46154</v>
      </c>
      <c r="G63" s="9">
        <v>46162</v>
      </c>
      <c r="H63" s="9"/>
      <c r="I63" s="8" t="s">
        <v>124</v>
      </c>
      <c r="J63" s="8" t="s">
        <v>144</v>
      </c>
      <c r="K63" s="10">
        <v>75</v>
      </c>
      <c r="L63" s="10">
        <v>72.72</v>
      </c>
      <c r="M63" s="11">
        <v>1</v>
      </c>
      <c r="N63" s="11">
        <v>0.96960000000000002</v>
      </c>
      <c r="O63" s="12">
        <v>13704332</v>
      </c>
      <c r="P63" s="12">
        <v>15059424</v>
      </c>
      <c r="Q63" s="13">
        <v>171</v>
      </c>
      <c r="R63" s="13">
        <v>173</v>
      </c>
      <c r="S63" s="8">
        <v>6</v>
      </c>
      <c r="T63" s="8">
        <v>0</v>
      </c>
      <c r="U63" s="12">
        <f t="shared" si="7"/>
        <v>1355092</v>
      </c>
      <c r="V63" s="11">
        <f t="shared" si="8"/>
        <v>9.8880558351913839E-2</v>
      </c>
      <c r="W63" s="11">
        <f t="shared" si="9"/>
        <v>-3.0399999999999983E-2</v>
      </c>
      <c r="X63" s="8">
        <f t="shared" si="10"/>
        <v>103</v>
      </c>
      <c r="Y63" s="14">
        <f t="shared" si="11"/>
        <v>0.42034682080924857</v>
      </c>
      <c r="Z63" s="12">
        <f t="shared" si="12"/>
        <v>207087.7887788779</v>
      </c>
      <c r="AA63" s="8" t="str">
        <f t="shared" si="13"/>
        <v>Controlado</v>
      </c>
    </row>
    <row r="64" spans="1:27">
      <c r="A64" s="8" t="s">
        <v>224</v>
      </c>
      <c r="B64" s="8" t="s">
        <v>120</v>
      </c>
      <c r="C64" s="8" t="s">
        <v>180</v>
      </c>
      <c r="D64" s="8" t="s">
        <v>197</v>
      </c>
      <c r="E64" s="8" t="s">
        <v>137</v>
      </c>
      <c r="F64" s="9">
        <v>46158</v>
      </c>
      <c r="G64" s="9">
        <v>46172</v>
      </c>
      <c r="H64" s="9"/>
      <c r="I64" s="8" t="s">
        <v>124</v>
      </c>
      <c r="J64" s="8" t="s">
        <v>144</v>
      </c>
      <c r="K64" s="10">
        <v>63</v>
      </c>
      <c r="L64" s="10">
        <v>60.08</v>
      </c>
      <c r="M64" s="11">
        <v>1</v>
      </c>
      <c r="N64" s="11">
        <v>0.95369999999999999</v>
      </c>
      <c r="O64" s="12">
        <v>4739261</v>
      </c>
      <c r="P64" s="12">
        <v>5066038</v>
      </c>
      <c r="Q64" s="13">
        <v>111</v>
      </c>
      <c r="R64" s="13">
        <v>116.2</v>
      </c>
      <c r="S64" s="8">
        <v>15</v>
      </c>
      <c r="T64" s="8">
        <v>0</v>
      </c>
      <c r="U64" s="12">
        <f t="shared" si="7"/>
        <v>326777</v>
      </c>
      <c r="V64" s="11">
        <f t="shared" si="8"/>
        <v>6.8951045321200916E-2</v>
      </c>
      <c r="W64" s="11">
        <f t="shared" si="9"/>
        <v>-4.6300000000000008E-2</v>
      </c>
      <c r="X64" s="8">
        <f t="shared" si="10"/>
        <v>93</v>
      </c>
      <c r="Y64" s="14">
        <f t="shared" si="11"/>
        <v>0.51703958691910501</v>
      </c>
      <c r="Z64" s="12">
        <f t="shared" si="12"/>
        <v>84321.537949400808</v>
      </c>
      <c r="AA64" s="8" t="str">
        <f t="shared" si="13"/>
        <v>Controlado</v>
      </c>
    </row>
    <row r="65" spans="1:27">
      <c r="A65" s="8" t="s">
        <v>225</v>
      </c>
      <c r="B65" s="8" t="s">
        <v>120</v>
      </c>
      <c r="C65" s="8" t="s">
        <v>226</v>
      </c>
      <c r="D65" s="8" t="s">
        <v>227</v>
      </c>
      <c r="E65" s="8" t="s">
        <v>131</v>
      </c>
      <c r="F65" s="9">
        <v>46159</v>
      </c>
      <c r="G65" s="9">
        <v>46169</v>
      </c>
      <c r="H65" s="9"/>
      <c r="I65" s="8" t="s">
        <v>124</v>
      </c>
      <c r="J65" s="8" t="s">
        <v>228</v>
      </c>
      <c r="K65" s="10">
        <v>265</v>
      </c>
      <c r="L65" s="10">
        <v>221.32</v>
      </c>
      <c r="M65" s="11">
        <v>1</v>
      </c>
      <c r="N65" s="11">
        <v>0.83520000000000005</v>
      </c>
      <c r="O65" s="12">
        <v>6970037</v>
      </c>
      <c r="P65" s="12">
        <v>5927988</v>
      </c>
      <c r="Q65" s="13">
        <v>370.7</v>
      </c>
      <c r="R65" s="13">
        <v>326.7</v>
      </c>
      <c r="S65" s="8">
        <v>15</v>
      </c>
      <c r="T65" s="8">
        <v>0</v>
      </c>
      <c r="U65" s="12">
        <f t="shared" si="7"/>
        <v>-1042049</v>
      </c>
      <c r="V65" s="11">
        <f t="shared" si="8"/>
        <v>-0.14950408441160357</v>
      </c>
      <c r="W65" s="11">
        <f t="shared" si="9"/>
        <v>-0.16479999999999995</v>
      </c>
      <c r="X65" s="8">
        <f t="shared" si="10"/>
        <v>96</v>
      </c>
      <c r="Y65" s="14">
        <f t="shared" si="11"/>
        <v>0.6774410774410774</v>
      </c>
      <c r="Z65" s="12">
        <f t="shared" si="12"/>
        <v>26784.691848906561</v>
      </c>
      <c r="AA65" s="8" t="str">
        <f t="shared" si="13"/>
        <v>Atenção</v>
      </c>
    </row>
    <row r="66" spans="1:27">
      <c r="A66" s="8" t="s">
        <v>229</v>
      </c>
      <c r="B66" s="8" t="s">
        <v>120</v>
      </c>
      <c r="C66" s="8" t="s">
        <v>226</v>
      </c>
      <c r="D66" s="8" t="s">
        <v>230</v>
      </c>
      <c r="E66" s="8" t="s">
        <v>137</v>
      </c>
      <c r="F66" s="9">
        <v>46164</v>
      </c>
      <c r="G66" s="9">
        <v>46174</v>
      </c>
      <c r="H66" s="9"/>
      <c r="I66" s="8" t="s">
        <v>124</v>
      </c>
      <c r="J66" s="8" t="s">
        <v>228</v>
      </c>
      <c r="K66" s="10">
        <v>554</v>
      </c>
      <c r="L66" s="10">
        <v>538.1</v>
      </c>
      <c r="M66" s="11">
        <v>1</v>
      </c>
      <c r="N66" s="11">
        <v>0.97130000000000005</v>
      </c>
      <c r="O66" s="12">
        <v>9480675</v>
      </c>
      <c r="P66" s="12">
        <v>8558630</v>
      </c>
      <c r="Q66" s="13">
        <v>524.1</v>
      </c>
      <c r="R66" s="13">
        <v>505.4</v>
      </c>
      <c r="S66" s="8">
        <v>15</v>
      </c>
      <c r="T66" s="8">
        <v>0</v>
      </c>
      <c r="U66" s="12">
        <f t="shared" ref="U66:U97" si="14">P66-O66</f>
        <v>-922045</v>
      </c>
      <c r="V66" s="11">
        <f t="shared" ref="V66:V97" si="15">IFERROR(U66/O66,0)</f>
        <v>-9.7255205984805929E-2</v>
      </c>
      <c r="W66" s="11">
        <f t="shared" ref="W66:W97" si="16">N66-M66</f>
        <v>-2.8699999999999948E-2</v>
      </c>
      <c r="X66" s="8">
        <f t="shared" ref="X66:X97" si="17">IF(H66&lt;&gt;"",MAX(0,H66-G66),MAX(0,DATE(2026,8,31)-G66))</f>
        <v>91</v>
      </c>
      <c r="Y66" s="14">
        <f t="shared" ref="Y66:Y97" si="18">IFERROR(L66/R66,0)</f>
        <v>1.0647012267510882</v>
      </c>
      <c r="Z66" s="12">
        <f t="shared" ref="Z66:Z97" si="19">IFERROR(P66/L66,0)</f>
        <v>15905.27782939974</v>
      </c>
      <c r="AA66" s="8" t="str">
        <f t="shared" ref="AA66:AA97" si="20">IF(V66&gt;0.1,"Crítico",IF(W66&lt;-0.1,"Atenção","Controlado"))</f>
        <v>Controlado</v>
      </c>
    </row>
    <row r="67" spans="1:27">
      <c r="A67" s="8" t="s">
        <v>231</v>
      </c>
      <c r="B67" s="8" t="s">
        <v>120</v>
      </c>
      <c r="C67" s="8" t="s">
        <v>226</v>
      </c>
      <c r="D67" s="8" t="s">
        <v>232</v>
      </c>
      <c r="E67" s="8" t="s">
        <v>131</v>
      </c>
      <c r="F67" s="9">
        <v>46164</v>
      </c>
      <c r="G67" s="9">
        <v>46175</v>
      </c>
      <c r="H67" s="9">
        <v>46184</v>
      </c>
      <c r="I67" s="8" t="s">
        <v>134</v>
      </c>
      <c r="J67" s="8" t="s">
        <v>228</v>
      </c>
      <c r="K67" s="10">
        <v>261</v>
      </c>
      <c r="L67" s="10">
        <v>261</v>
      </c>
      <c r="M67" s="11">
        <v>1</v>
      </c>
      <c r="N67" s="11">
        <v>1</v>
      </c>
      <c r="O67" s="12">
        <v>5971475</v>
      </c>
      <c r="P67" s="12">
        <v>6666267</v>
      </c>
      <c r="Q67" s="13">
        <v>445.3</v>
      </c>
      <c r="R67" s="13">
        <v>451.7</v>
      </c>
      <c r="S67" s="8">
        <v>14</v>
      </c>
      <c r="T67" s="8">
        <v>0</v>
      </c>
      <c r="U67" s="12">
        <f t="shared" si="14"/>
        <v>694792</v>
      </c>
      <c r="V67" s="11">
        <f t="shared" si="15"/>
        <v>0.1163518226233887</v>
      </c>
      <c r="W67" s="11">
        <f t="shared" si="16"/>
        <v>0</v>
      </c>
      <c r="X67" s="8">
        <f t="shared" si="17"/>
        <v>9</v>
      </c>
      <c r="Y67" s="14">
        <f t="shared" si="18"/>
        <v>0.57781713526677003</v>
      </c>
      <c r="Z67" s="12">
        <f t="shared" si="19"/>
        <v>25541.252873563219</v>
      </c>
      <c r="AA67" s="8" t="str">
        <f t="shared" si="20"/>
        <v>Crítico</v>
      </c>
    </row>
    <row r="68" spans="1:27">
      <c r="A68" s="8" t="s">
        <v>233</v>
      </c>
      <c r="B68" s="8" t="s">
        <v>120</v>
      </c>
      <c r="C68" s="8" t="s">
        <v>226</v>
      </c>
      <c r="D68" s="8" t="s">
        <v>234</v>
      </c>
      <c r="E68" s="8" t="s">
        <v>137</v>
      </c>
      <c r="F68" s="9">
        <v>46166</v>
      </c>
      <c r="G68" s="9">
        <v>46177</v>
      </c>
      <c r="H68" s="9"/>
      <c r="I68" s="8" t="s">
        <v>124</v>
      </c>
      <c r="J68" s="8" t="s">
        <v>228</v>
      </c>
      <c r="K68" s="10">
        <v>552</v>
      </c>
      <c r="L68" s="10">
        <v>513.95000000000005</v>
      </c>
      <c r="M68" s="11">
        <v>1</v>
      </c>
      <c r="N68" s="11">
        <v>0.93110000000000004</v>
      </c>
      <c r="O68" s="12">
        <v>19556526</v>
      </c>
      <c r="P68" s="12">
        <v>18563379</v>
      </c>
      <c r="Q68" s="13">
        <v>607.5</v>
      </c>
      <c r="R68" s="13">
        <v>582</v>
      </c>
      <c r="S68" s="8">
        <v>10</v>
      </c>
      <c r="T68" s="8">
        <v>0</v>
      </c>
      <c r="U68" s="12">
        <f t="shared" si="14"/>
        <v>-993147</v>
      </c>
      <c r="V68" s="11">
        <f t="shared" si="15"/>
        <v>-5.0783406009840396E-2</v>
      </c>
      <c r="W68" s="11">
        <f t="shared" si="16"/>
        <v>-6.8899999999999961E-2</v>
      </c>
      <c r="X68" s="8">
        <f t="shared" si="17"/>
        <v>88</v>
      </c>
      <c r="Y68" s="14">
        <f t="shared" si="18"/>
        <v>0.88307560137457053</v>
      </c>
      <c r="Z68" s="12">
        <f t="shared" si="19"/>
        <v>36119.036871290977</v>
      </c>
      <c r="AA68" s="8" t="str">
        <f t="shared" si="20"/>
        <v>Controlado</v>
      </c>
    </row>
    <row r="69" spans="1:27">
      <c r="A69" s="8" t="s">
        <v>235</v>
      </c>
      <c r="B69" s="8" t="s">
        <v>120</v>
      </c>
      <c r="C69" s="8" t="s">
        <v>226</v>
      </c>
      <c r="D69" s="8" t="s">
        <v>236</v>
      </c>
      <c r="E69" s="8" t="s">
        <v>137</v>
      </c>
      <c r="F69" s="9">
        <v>46167</v>
      </c>
      <c r="G69" s="9">
        <v>46177</v>
      </c>
      <c r="H69" s="9"/>
      <c r="I69" s="8" t="s">
        <v>124</v>
      </c>
      <c r="J69" s="8" t="s">
        <v>228</v>
      </c>
      <c r="K69" s="10">
        <v>428</v>
      </c>
      <c r="L69" s="10">
        <v>365.22</v>
      </c>
      <c r="M69" s="11">
        <v>1</v>
      </c>
      <c r="N69" s="11">
        <v>0.85329999999999995</v>
      </c>
      <c r="O69" s="12">
        <v>8580837</v>
      </c>
      <c r="P69" s="12">
        <v>7527343</v>
      </c>
      <c r="Q69" s="13">
        <v>1038.3</v>
      </c>
      <c r="R69" s="13">
        <v>995.6</v>
      </c>
      <c r="S69" s="8">
        <v>14</v>
      </c>
      <c r="T69" s="8">
        <v>0</v>
      </c>
      <c r="U69" s="12">
        <f t="shared" si="14"/>
        <v>-1053494</v>
      </c>
      <c r="V69" s="11">
        <f t="shared" si="15"/>
        <v>-0.12277287169072201</v>
      </c>
      <c r="W69" s="11">
        <f t="shared" si="16"/>
        <v>-0.14670000000000005</v>
      </c>
      <c r="X69" s="8">
        <f t="shared" si="17"/>
        <v>88</v>
      </c>
      <c r="Y69" s="14">
        <f t="shared" si="18"/>
        <v>0.36683406990759343</v>
      </c>
      <c r="Z69" s="12">
        <f t="shared" si="19"/>
        <v>20610.434806418049</v>
      </c>
      <c r="AA69" s="8" t="str">
        <f t="shared" si="20"/>
        <v>Atenção</v>
      </c>
    </row>
    <row r="70" spans="1:27">
      <c r="A70" s="8" t="s">
        <v>237</v>
      </c>
      <c r="B70" s="8" t="s">
        <v>120</v>
      </c>
      <c r="C70" s="8" t="s">
        <v>226</v>
      </c>
      <c r="D70" s="8" t="s">
        <v>238</v>
      </c>
      <c r="E70" s="8" t="s">
        <v>123</v>
      </c>
      <c r="F70" s="9">
        <v>46169</v>
      </c>
      <c r="G70" s="9">
        <v>46182</v>
      </c>
      <c r="H70" s="9">
        <v>46192</v>
      </c>
      <c r="I70" s="8" t="s">
        <v>134</v>
      </c>
      <c r="J70" s="8" t="s">
        <v>228</v>
      </c>
      <c r="K70" s="10">
        <v>211</v>
      </c>
      <c r="L70" s="10">
        <v>211</v>
      </c>
      <c r="M70" s="11">
        <v>1</v>
      </c>
      <c r="N70" s="11">
        <v>1</v>
      </c>
      <c r="O70" s="12">
        <v>4961511</v>
      </c>
      <c r="P70" s="12">
        <v>5020171</v>
      </c>
      <c r="Q70" s="13">
        <v>275.60000000000002</v>
      </c>
      <c r="R70" s="13">
        <v>303.7</v>
      </c>
      <c r="S70" s="8">
        <v>14</v>
      </c>
      <c r="T70" s="8">
        <v>0</v>
      </c>
      <c r="U70" s="12">
        <f t="shared" si="14"/>
        <v>58660</v>
      </c>
      <c r="V70" s="11">
        <f t="shared" si="15"/>
        <v>1.1823011175426196E-2</v>
      </c>
      <c r="W70" s="11">
        <f t="shared" si="16"/>
        <v>0</v>
      </c>
      <c r="X70" s="8">
        <f t="shared" si="17"/>
        <v>10</v>
      </c>
      <c r="Y70" s="14">
        <f t="shared" si="18"/>
        <v>0.69476457029963778</v>
      </c>
      <c r="Z70" s="12">
        <f t="shared" si="19"/>
        <v>23792.279620853082</v>
      </c>
      <c r="AA70" s="8" t="str">
        <f t="shared" si="20"/>
        <v>Controlado</v>
      </c>
    </row>
    <row r="71" spans="1:27">
      <c r="A71" s="8" t="s">
        <v>239</v>
      </c>
      <c r="B71" s="8" t="s">
        <v>120</v>
      </c>
      <c r="C71" s="8" t="s">
        <v>226</v>
      </c>
      <c r="D71" s="8" t="s">
        <v>240</v>
      </c>
      <c r="E71" s="8" t="s">
        <v>123</v>
      </c>
      <c r="F71" s="9">
        <v>46168</v>
      </c>
      <c r="G71" s="9">
        <v>46183</v>
      </c>
      <c r="H71" s="9"/>
      <c r="I71" s="8" t="s">
        <v>124</v>
      </c>
      <c r="J71" s="8" t="s">
        <v>228</v>
      </c>
      <c r="K71" s="10">
        <v>477</v>
      </c>
      <c r="L71" s="10">
        <v>406.95</v>
      </c>
      <c r="M71" s="11">
        <v>1</v>
      </c>
      <c r="N71" s="11">
        <v>0.85309999999999997</v>
      </c>
      <c r="O71" s="12">
        <v>7377259</v>
      </c>
      <c r="P71" s="12">
        <v>6775686</v>
      </c>
      <c r="Q71" s="13">
        <v>1140.9000000000001</v>
      </c>
      <c r="R71" s="13">
        <v>1111.8</v>
      </c>
      <c r="S71" s="8">
        <v>15</v>
      </c>
      <c r="T71" s="8">
        <v>0</v>
      </c>
      <c r="U71" s="12">
        <f t="shared" si="14"/>
        <v>-601573</v>
      </c>
      <c r="V71" s="11">
        <f t="shared" si="15"/>
        <v>-8.1544242922744065E-2</v>
      </c>
      <c r="W71" s="11">
        <f t="shared" si="16"/>
        <v>-0.14690000000000003</v>
      </c>
      <c r="X71" s="8">
        <f t="shared" si="17"/>
        <v>82</v>
      </c>
      <c r="Y71" s="14">
        <f t="shared" si="18"/>
        <v>0.36602806260118725</v>
      </c>
      <c r="Z71" s="12">
        <f t="shared" si="19"/>
        <v>16649.92259491338</v>
      </c>
      <c r="AA71" s="8" t="str">
        <f t="shared" si="20"/>
        <v>Atenção</v>
      </c>
    </row>
    <row r="72" spans="1:27">
      <c r="A72" s="8" t="s">
        <v>241</v>
      </c>
      <c r="B72" s="8" t="s">
        <v>120</v>
      </c>
      <c r="C72" s="8" t="s">
        <v>226</v>
      </c>
      <c r="D72" s="8" t="s">
        <v>242</v>
      </c>
      <c r="E72" s="8" t="s">
        <v>128</v>
      </c>
      <c r="F72" s="9">
        <v>46167</v>
      </c>
      <c r="G72" s="9">
        <v>46174</v>
      </c>
      <c r="H72" s="9">
        <v>46182</v>
      </c>
      <c r="I72" s="8" t="s">
        <v>134</v>
      </c>
      <c r="J72" s="8" t="s">
        <v>228</v>
      </c>
      <c r="K72" s="10">
        <v>789</v>
      </c>
      <c r="L72" s="10">
        <v>789</v>
      </c>
      <c r="M72" s="11">
        <v>1</v>
      </c>
      <c r="N72" s="11">
        <v>1</v>
      </c>
      <c r="O72" s="12">
        <v>23582755</v>
      </c>
      <c r="P72" s="12">
        <v>24421913</v>
      </c>
      <c r="Q72" s="13">
        <v>631.4</v>
      </c>
      <c r="R72" s="13">
        <v>719.9</v>
      </c>
      <c r="S72" s="8">
        <v>15</v>
      </c>
      <c r="T72" s="8">
        <v>0</v>
      </c>
      <c r="U72" s="12">
        <f t="shared" si="14"/>
        <v>839158</v>
      </c>
      <c r="V72" s="11">
        <f t="shared" si="15"/>
        <v>3.558354399220956E-2</v>
      </c>
      <c r="W72" s="11">
        <f t="shared" si="16"/>
        <v>0</v>
      </c>
      <c r="X72" s="8">
        <f t="shared" si="17"/>
        <v>8</v>
      </c>
      <c r="Y72" s="14">
        <f t="shared" si="18"/>
        <v>1.0959855535491041</v>
      </c>
      <c r="Z72" s="12">
        <f t="shared" si="19"/>
        <v>30952.994930291508</v>
      </c>
      <c r="AA72" s="8" t="str">
        <f t="shared" si="20"/>
        <v>Controlado</v>
      </c>
    </row>
    <row r="73" spans="1:27">
      <c r="A73" s="8" t="s">
        <v>243</v>
      </c>
      <c r="B73" s="8" t="s">
        <v>120</v>
      </c>
      <c r="C73" s="8" t="s">
        <v>226</v>
      </c>
      <c r="D73" s="8" t="s">
        <v>244</v>
      </c>
      <c r="E73" s="8" t="s">
        <v>128</v>
      </c>
      <c r="F73" s="9">
        <v>46170</v>
      </c>
      <c r="G73" s="9">
        <v>46184</v>
      </c>
      <c r="H73" s="9">
        <v>46186</v>
      </c>
      <c r="I73" s="8" t="s">
        <v>134</v>
      </c>
      <c r="J73" s="8" t="s">
        <v>228</v>
      </c>
      <c r="K73" s="10">
        <v>713</v>
      </c>
      <c r="L73" s="10">
        <v>713</v>
      </c>
      <c r="M73" s="11">
        <v>1</v>
      </c>
      <c r="N73" s="11">
        <v>1</v>
      </c>
      <c r="O73" s="12">
        <v>5975549</v>
      </c>
      <c r="P73" s="12">
        <v>5823587</v>
      </c>
      <c r="Q73" s="13">
        <v>1774.5</v>
      </c>
      <c r="R73" s="13">
        <v>1773.6</v>
      </c>
      <c r="S73" s="8">
        <v>11</v>
      </c>
      <c r="T73" s="8">
        <v>0</v>
      </c>
      <c r="U73" s="12">
        <f t="shared" si="14"/>
        <v>-151962</v>
      </c>
      <c r="V73" s="11">
        <f t="shared" si="15"/>
        <v>-2.5430634072283569E-2</v>
      </c>
      <c r="W73" s="11">
        <f t="shared" si="16"/>
        <v>0</v>
      </c>
      <c r="X73" s="8">
        <f t="shared" si="17"/>
        <v>2</v>
      </c>
      <c r="Y73" s="14">
        <f t="shared" si="18"/>
        <v>0.4020072169598557</v>
      </c>
      <c r="Z73" s="12">
        <f t="shared" si="19"/>
        <v>8167.7237026647963</v>
      </c>
      <c r="AA73" s="8" t="str">
        <f t="shared" si="20"/>
        <v>Controlado</v>
      </c>
    </row>
    <row r="74" spans="1:27">
      <c r="A74" s="8" t="s">
        <v>245</v>
      </c>
      <c r="B74" s="8" t="s">
        <v>120</v>
      </c>
      <c r="C74" s="8" t="s">
        <v>226</v>
      </c>
      <c r="D74" s="8" t="s">
        <v>246</v>
      </c>
      <c r="E74" s="8" t="s">
        <v>128</v>
      </c>
      <c r="F74" s="9">
        <v>46168</v>
      </c>
      <c r="G74" s="9">
        <v>46180</v>
      </c>
      <c r="H74" s="9">
        <v>46180</v>
      </c>
      <c r="I74" s="8" t="s">
        <v>134</v>
      </c>
      <c r="J74" s="8" t="s">
        <v>228</v>
      </c>
      <c r="K74" s="10">
        <v>704</v>
      </c>
      <c r="L74" s="10">
        <v>704</v>
      </c>
      <c r="M74" s="11">
        <v>1</v>
      </c>
      <c r="N74" s="11">
        <v>1</v>
      </c>
      <c r="O74" s="12">
        <v>8104345</v>
      </c>
      <c r="P74" s="12">
        <v>8461438</v>
      </c>
      <c r="Q74" s="13">
        <v>690.6</v>
      </c>
      <c r="R74" s="13">
        <v>800.4</v>
      </c>
      <c r="S74" s="8">
        <v>6</v>
      </c>
      <c r="T74" s="8">
        <v>0</v>
      </c>
      <c r="U74" s="12">
        <f t="shared" si="14"/>
        <v>357093</v>
      </c>
      <c r="V74" s="11">
        <f t="shared" si="15"/>
        <v>4.4061919871377635E-2</v>
      </c>
      <c r="W74" s="11">
        <f t="shared" si="16"/>
        <v>0</v>
      </c>
      <c r="X74" s="8">
        <f t="shared" si="17"/>
        <v>0</v>
      </c>
      <c r="Y74" s="14">
        <f t="shared" si="18"/>
        <v>0.87956021989005495</v>
      </c>
      <c r="Z74" s="12">
        <f t="shared" si="19"/>
        <v>12019.088068181818</v>
      </c>
      <c r="AA74" s="8" t="str">
        <f t="shared" si="20"/>
        <v>Controlado</v>
      </c>
    </row>
    <row r="75" spans="1:27">
      <c r="A75" s="8" t="s">
        <v>247</v>
      </c>
      <c r="B75" s="8" t="s">
        <v>120</v>
      </c>
      <c r="C75" s="8" t="s">
        <v>226</v>
      </c>
      <c r="D75" s="8" t="s">
        <v>248</v>
      </c>
      <c r="E75" s="8" t="s">
        <v>128</v>
      </c>
      <c r="F75" s="9">
        <v>46173</v>
      </c>
      <c r="G75" s="9">
        <v>46178</v>
      </c>
      <c r="H75" s="9">
        <v>46175</v>
      </c>
      <c r="I75" s="8" t="s">
        <v>134</v>
      </c>
      <c r="J75" s="8" t="s">
        <v>228</v>
      </c>
      <c r="K75" s="10">
        <v>426</v>
      </c>
      <c r="L75" s="10">
        <v>426</v>
      </c>
      <c r="M75" s="11">
        <v>1</v>
      </c>
      <c r="N75" s="11">
        <v>1</v>
      </c>
      <c r="O75" s="12">
        <v>16161622</v>
      </c>
      <c r="P75" s="12">
        <v>15480498</v>
      </c>
      <c r="Q75" s="13">
        <v>635.29999999999995</v>
      </c>
      <c r="R75" s="13">
        <v>599.6</v>
      </c>
      <c r="S75" s="8">
        <v>6</v>
      </c>
      <c r="T75" s="8">
        <v>0</v>
      </c>
      <c r="U75" s="12">
        <f t="shared" si="14"/>
        <v>-681124</v>
      </c>
      <c r="V75" s="11">
        <f t="shared" si="15"/>
        <v>-4.2144532275287715E-2</v>
      </c>
      <c r="W75" s="11">
        <f t="shared" si="16"/>
        <v>0</v>
      </c>
      <c r="X75" s="8">
        <f t="shared" si="17"/>
        <v>0</v>
      </c>
      <c r="Y75" s="14">
        <f t="shared" si="18"/>
        <v>0.71047364909939958</v>
      </c>
      <c r="Z75" s="12">
        <f t="shared" si="19"/>
        <v>36339.197183098593</v>
      </c>
      <c r="AA75" s="8" t="str">
        <f t="shared" si="20"/>
        <v>Controlado</v>
      </c>
    </row>
    <row r="76" spans="1:27">
      <c r="A76" s="8" t="s">
        <v>249</v>
      </c>
      <c r="B76" s="8" t="s">
        <v>120</v>
      </c>
      <c r="C76" s="8" t="s">
        <v>226</v>
      </c>
      <c r="D76" s="8" t="s">
        <v>250</v>
      </c>
      <c r="E76" s="8" t="s">
        <v>137</v>
      </c>
      <c r="F76" s="9">
        <v>46172</v>
      </c>
      <c r="G76" s="9">
        <v>46180</v>
      </c>
      <c r="H76" s="9"/>
      <c r="I76" s="8" t="s">
        <v>124</v>
      </c>
      <c r="J76" s="8" t="s">
        <v>228</v>
      </c>
      <c r="K76" s="10">
        <v>331</v>
      </c>
      <c r="L76" s="10">
        <v>274.83</v>
      </c>
      <c r="M76" s="11">
        <v>1</v>
      </c>
      <c r="N76" s="11">
        <v>0.83030000000000004</v>
      </c>
      <c r="O76" s="12">
        <v>7628378</v>
      </c>
      <c r="P76" s="12">
        <v>6984662</v>
      </c>
      <c r="Q76" s="13">
        <v>631.79999999999995</v>
      </c>
      <c r="R76" s="13">
        <v>598.6</v>
      </c>
      <c r="S76" s="8">
        <v>6</v>
      </c>
      <c r="T76" s="8">
        <v>0</v>
      </c>
      <c r="U76" s="12">
        <f t="shared" si="14"/>
        <v>-643716</v>
      </c>
      <c r="V76" s="11">
        <f t="shared" si="15"/>
        <v>-8.4384386825089155E-2</v>
      </c>
      <c r="W76" s="11">
        <f t="shared" si="16"/>
        <v>-0.16969999999999996</v>
      </c>
      <c r="X76" s="8">
        <f t="shared" si="17"/>
        <v>85</v>
      </c>
      <c r="Y76" s="14">
        <f t="shared" si="18"/>
        <v>0.45912128299365179</v>
      </c>
      <c r="Z76" s="12">
        <f t="shared" si="19"/>
        <v>25414.481679583743</v>
      </c>
      <c r="AA76" s="8" t="str">
        <f t="shared" si="20"/>
        <v>Atenção</v>
      </c>
    </row>
    <row r="77" spans="1:27">
      <c r="A77" s="8" t="s">
        <v>251</v>
      </c>
      <c r="B77" s="8" t="s">
        <v>120</v>
      </c>
      <c r="C77" s="8" t="s">
        <v>226</v>
      </c>
      <c r="D77" s="8" t="s">
        <v>227</v>
      </c>
      <c r="E77" s="8" t="s">
        <v>131</v>
      </c>
      <c r="F77" s="9">
        <v>46175</v>
      </c>
      <c r="G77" s="9">
        <v>46183</v>
      </c>
      <c r="H77" s="9">
        <v>46182</v>
      </c>
      <c r="I77" s="8" t="s">
        <v>134</v>
      </c>
      <c r="J77" s="8" t="s">
        <v>228</v>
      </c>
      <c r="K77" s="10">
        <v>282</v>
      </c>
      <c r="L77" s="10">
        <v>282</v>
      </c>
      <c r="M77" s="11">
        <v>1</v>
      </c>
      <c r="N77" s="11">
        <v>1</v>
      </c>
      <c r="O77" s="12">
        <v>2232299</v>
      </c>
      <c r="P77" s="12">
        <v>2309691</v>
      </c>
      <c r="Q77" s="13">
        <v>294.89999999999998</v>
      </c>
      <c r="R77" s="13">
        <v>356.6</v>
      </c>
      <c r="S77" s="8">
        <v>6</v>
      </c>
      <c r="T77" s="8">
        <v>0</v>
      </c>
      <c r="U77" s="12">
        <f t="shared" si="14"/>
        <v>77392</v>
      </c>
      <c r="V77" s="11">
        <f t="shared" si="15"/>
        <v>3.4669190820763703E-2</v>
      </c>
      <c r="W77" s="11">
        <f t="shared" si="16"/>
        <v>0</v>
      </c>
      <c r="X77" s="8">
        <f t="shared" si="17"/>
        <v>0</v>
      </c>
      <c r="Y77" s="14">
        <f t="shared" si="18"/>
        <v>0.79080201906898484</v>
      </c>
      <c r="Z77" s="12">
        <f t="shared" si="19"/>
        <v>8190.3936170212764</v>
      </c>
      <c r="AA77" s="8" t="str">
        <f t="shared" si="20"/>
        <v>Controlado</v>
      </c>
    </row>
    <row r="78" spans="1:27">
      <c r="A78" s="8" t="s">
        <v>252</v>
      </c>
      <c r="B78" s="8" t="s">
        <v>120</v>
      </c>
      <c r="C78" s="8" t="s">
        <v>253</v>
      </c>
      <c r="D78" s="8" t="s">
        <v>254</v>
      </c>
      <c r="E78" s="8" t="s">
        <v>137</v>
      </c>
      <c r="F78" s="9">
        <v>46175</v>
      </c>
      <c r="G78" s="9">
        <v>46187</v>
      </c>
      <c r="H78" s="9"/>
      <c r="I78" s="8" t="s">
        <v>124</v>
      </c>
      <c r="J78" s="8" t="s">
        <v>255</v>
      </c>
      <c r="K78" s="10">
        <v>286</v>
      </c>
      <c r="L78" s="10">
        <v>247.68</v>
      </c>
      <c r="M78" s="11">
        <v>1</v>
      </c>
      <c r="N78" s="11">
        <v>0.86599999999999999</v>
      </c>
      <c r="O78" s="12">
        <v>3527229</v>
      </c>
      <c r="P78" s="12">
        <v>3045964</v>
      </c>
      <c r="Q78" s="13">
        <v>201.4</v>
      </c>
      <c r="R78" s="13">
        <v>180.7</v>
      </c>
      <c r="S78" s="8">
        <v>17</v>
      </c>
      <c r="T78" s="8">
        <v>0</v>
      </c>
      <c r="U78" s="12">
        <f t="shared" si="14"/>
        <v>-481265</v>
      </c>
      <c r="V78" s="11">
        <f t="shared" si="15"/>
        <v>-0.13644279971615111</v>
      </c>
      <c r="W78" s="11">
        <f t="shared" si="16"/>
        <v>-0.13400000000000001</v>
      </c>
      <c r="X78" s="8">
        <f t="shared" si="17"/>
        <v>78</v>
      </c>
      <c r="Y78" s="14">
        <f t="shared" si="18"/>
        <v>1.3706696181516327</v>
      </c>
      <c r="Z78" s="12">
        <f t="shared" si="19"/>
        <v>12297.981266149871</v>
      </c>
      <c r="AA78" s="8" t="str">
        <f t="shared" si="20"/>
        <v>Atenção</v>
      </c>
    </row>
    <row r="79" spans="1:27">
      <c r="A79" s="8" t="s">
        <v>256</v>
      </c>
      <c r="B79" s="8" t="s">
        <v>120</v>
      </c>
      <c r="C79" s="8" t="s">
        <v>253</v>
      </c>
      <c r="D79" s="8" t="s">
        <v>257</v>
      </c>
      <c r="E79" s="8" t="s">
        <v>143</v>
      </c>
      <c r="F79" s="9">
        <v>46175</v>
      </c>
      <c r="G79" s="9">
        <v>46185</v>
      </c>
      <c r="H79" s="9">
        <v>46185</v>
      </c>
      <c r="I79" s="8" t="s">
        <v>134</v>
      </c>
      <c r="J79" s="8" t="s">
        <v>255</v>
      </c>
      <c r="K79" s="10">
        <v>525</v>
      </c>
      <c r="L79" s="10">
        <v>525</v>
      </c>
      <c r="M79" s="11">
        <v>1</v>
      </c>
      <c r="N79" s="11">
        <v>1</v>
      </c>
      <c r="O79" s="12">
        <v>10146221</v>
      </c>
      <c r="P79" s="12">
        <v>10775466</v>
      </c>
      <c r="Q79" s="13">
        <v>1467.3</v>
      </c>
      <c r="R79" s="13">
        <v>1544.6</v>
      </c>
      <c r="S79" s="8">
        <v>12</v>
      </c>
      <c r="T79" s="8">
        <v>0</v>
      </c>
      <c r="U79" s="12">
        <f t="shared" si="14"/>
        <v>629245</v>
      </c>
      <c r="V79" s="11">
        <f t="shared" si="15"/>
        <v>6.2017671406920861E-2</v>
      </c>
      <c r="W79" s="11">
        <f t="shared" si="16"/>
        <v>0</v>
      </c>
      <c r="X79" s="8">
        <f t="shared" si="17"/>
        <v>0</v>
      </c>
      <c r="Y79" s="14">
        <f t="shared" si="18"/>
        <v>0.33989382364366183</v>
      </c>
      <c r="Z79" s="12">
        <f t="shared" si="19"/>
        <v>20524.697142857141</v>
      </c>
      <c r="AA79" s="8" t="str">
        <f t="shared" si="20"/>
        <v>Controlado</v>
      </c>
    </row>
    <row r="80" spans="1:27">
      <c r="A80" s="8" t="s">
        <v>258</v>
      </c>
      <c r="B80" s="8" t="s">
        <v>120</v>
      </c>
      <c r="C80" s="8" t="s">
        <v>253</v>
      </c>
      <c r="D80" s="8" t="s">
        <v>259</v>
      </c>
      <c r="E80" s="8" t="s">
        <v>123</v>
      </c>
      <c r="F80" s="9">
        <v>46177</v>
      </c>
      <c r="G80" s="9">
        <v>46182</v>
      </c>
      <c r="H80" s="9">
        <v>46190</v>
      </c>
      <c r="I80" s="8" t="s">
        <v>134</v>
      </c>
      <c r="J80" s="8" t="s">
        <v>255</v>
      </c>
      <c r="K80" s="10">
        <v>897</v>
      </c>
      <c r="L80" s="10">
        <v>897</v>
      </c>
      <c r="M80" s="11">
        <v>1</v>
      </c>
      <c r="N80" s="11">
        <v>1</v>
      </c>
      <c r="O80" s="12">
        <v>15362124</v>
      </c>
      <c r="P80" s="12">
        <v>15584742</v>
      </c>
      <c r="Q80" s="13">
        <v>670.6</v>
      </c>
      <c r="R80" s="13">
        <v>646.79999999999995</v>
      </c>
      <c r="S80" s="8">
        <v>8</v>
      </c>
      <c r="T80" s="8">
        <v>0</v>
      </c>
      <c r="U80" s="12">
        <f t="shared" si="14"/>
        <v>222618</v>
      </c>
      <c r="V80" s="11">
        <f t="shared" si="15"/>
        <v>1.4491355492248337E-2</v>
      </c>
      <c r="W80" s="11">
        <f t="shared" si="16"/>
        <v>0</v>
      </c>
      <c r="X80" s="8">
        <f t="shared" si="17"/>
        <v>8</v>
      </c>
      <c r="Y80" s="14">
        <f t="shared" si="18"/>
        <v>1.3868274582560298</v>
      </c>
      <c r="Z80" s="12">
        <f t="shared" si="19"/>
        <v>17374.29431438127</v>
      </c>
      <c r="AA80" s="8" t="str">
        <f t="shared" si="20"/>
        <v>Controlado</v>
      </c>
    </row>
    <row r="81" spans="1:27">
      <c r="A81" s="8" t="s">
        <v>260</v>
      </c>
      <c r="B81" s="8" t="s">
        <v>120</v>
      </c>
      <c r="C81" s="8" t="s">
        <v>253</v>
      </c>
      <c r="D81" s="8" t="s">
        <v>261</v>
      </c>
      <c r="E81" s="8" t="s">
        <v>131</v>
      </c>
      <c r="F81" s="9">
        <v>46179</v>
      </c>
      <c r="G81" s="9">
        <v>46187</v>
      </c>
      <c r="H81" s="9"/>
      <c r="I81" s="8" t="s">
        <v>124</v>
      </c>
      <c r="J81" s="8" t="s">
        <v>125</v>
      </c>
      <c r="K81" s="10">
        <v>32</v>
      </c>
      <c r="L81" s="10">
        <v>29.51</v>
      </c>
      <c r="M81" s="11">
        <v>1</v>
      </c>
      <c r="N81" s="11">
        <v>0.92230000000000001</v>
      </c>
      <c r="O81" s="12">
        <v>8383330</v>
      </c>
      <c r="P81" s="12">
        <v>7796485</v>
      </c>
      <c r="Q81" s="13">
        <v>43.8</v>
      </c>
      <c r="R81" s="13">
        <v>44.2</v>
      </c>
      <c r="S81" s="8">
        <v>7</v>
      </c>
      <c r="T81" s="8">
        <v>0</v>
      </c>
      <c r="U81" s="12">
        <f t="shared" si="14"/>
        <v>-586845</v>
      </c>
      <c r="V81" s="11">
        <f t="shared" si="15"/>
        <v>-7.0001419483665797E-2</v>
      </c>
      <c r="W81" s="11">
        <f t="shared" si="16"/>
        <v>-7.7699999999999991E-2</v>
      </c>
      <c r="X81" s="8">
        <f t="shared" si="17"/>
        <v>78</v>
      </c>
      <c r="Y81" s="14">
        <f t="shared" si="18"/>
        <v>0.66764705882352937</v>
      </c>
      <c r="Z81" s="12">
        <f t="shared" si="19"/>
        <v>264198.06845137238</v>
      </c>
      <c r="AA81" s="8" t="str">
        <f t="shared" si="20"/>
        <v>Controlado</v>
      </c>
    </row>
    <row r="82" spans="1:27">
      <c r="A82" s="8" t="s">
        <v>262</v>
      </c>
      <c r="B82" s="8" t="s">
        <v>120</v>
      </c>
      <c r="C82" s="8" t="s">
        <v>253</v>
      </c>
      <c r="D82" s="8" t="s">
        <v>263</v>
      </c>
      <c r="E82" s="8" t="s">
        <v>128</v>
      </c>
      <c r="F82" s="9">
        <v>46179</v>
      </c>
      <c r="G82" s="9">
        <v>46189</v>
      </c>
      <c r="H82" s="9">
        <v>46191</v>
      </c>
      <c r="I82" s="8" t="s">
        <v>134</v>
      </c>
      <c r="J82" s="8" t="s">
        <v>255</v>
      </c>
      <c r="K82" s="10">
        <v>599</v>
      </c>
      <c r="L82" s="10">
        <v>599</v>
      </c>
      <c r="M82" s="11">
        <v>1</v>
      </c>
      <c r="N82" s="11">
        <v>1</v>
      </c>
      <c r="O82" s="12">
        <v>11111471</v>
      </c>
      <c r="P82" s="12">
        <v>10592044</v>
      </c>
      <c r="Q82" s="13">
        <v>1177.7</v>
      </c>
      <c r="R82" s="13">
        <v>1332</v>
      </c>
      <c r="S82" s="8">
        <v>14</v>
      </c>
      <c r="T82" s="8">
        <v>0</v>
      </c>
      <c r="U82" s="12">
        <f t="shared" si="14"/>
        <v>-519427</v>
      </c>
      <c r="V82" s="11">
        <f t="shared" si="15"/>
        <v>-4.6746915867395052E-2</v>
      </c>
      <c r="W82" s="11">
        <f t="shared" si="16"/>
        <v>0</v>
      </c>
      <c r="X82" s="8">
        <f t="shared" si="17"/>
        <v>2</v>
      </c>
      <c r="Y82" s="14">
        <f t="shared" si="18"/>
        <v>0.4496996996996997</v>
      </c>
      <c r="Z82" s="12">
        <f t="shared" si="19"/>
        <v>17682.878130217028</v>
      </c>
      <c r="AA82" s="8" t="str">
        <f t="shared" si="20"/>
        <v>Controlado</v>
      </c>
    </row>
    <row r="83" spans="1:27">
      <c r="A83" s="8" t="s">
        <v>264</v>
      </c>
      <c r="B83" s="8" t="s">
        <v>120</v>
      </c>
      <c r="C83" s="8" t="s">
        <v>253</v>
      </c>
      <c r="D83" s="8" t="s">
        <v>265</v>
      </c>
      <c r="E83" s="8" t="s">
        <v>137</v>
      </c>
      <c r="F83" s="9">
        <v>46180</v>
      </c>
      <c r="G83" s="9">
        <v>46195</v>
      </c>
      <c r="H83" s="9">
        <v>46202</v>
      </c>
      <c r="I83" s="8" t="s">
        <v>134</v>
      </c>
      <c r="J83" s="8" t="s">
        <v>255</v>
      </c>
      <c r="K83" s="10">
        <v>575</v>
      </c>
      <c r="L83" s="10">
        <v>575</v>
      </c>
      <c r="M83" s="11">
        <v>1</v>
      </c>
      <c r="N83" s="11">
        <v>1</v>
      </c>
      <c r="O83" s="12">
        <v>3414203</v>
      </c>
      <c r="P83" s="12">
        <v>3346009</v>
      </c>
      <c r="Q83" s="13">
        <v>1606.7</v>
      </c>
      <c r="R83" s="13">
        <v>1709.4</v>
      </c>
      <c r="S83" s="8">
        <v>17</v>
      </c>
      <c r="T83" s="8">
        <v>0</v>
      </c>
      <c r="U83" s="12">
        <f t="shared" si="14"/>
        <v>-68194</v>
      </c>
      <c r="V83" s="11">
        <f t="shared" si="15"/>
        <v>-1.9973621955109291E-2</v>
      </c>
      <c r="W83" s="11">
        <f t="shared" si="16"/>
        <v>0</v>
      </c>
      <c r="X83" s="8">
        <f t="shared" si="17"/>
        <v>7</v>
      </c>
      <c r="Y83" s="14">
        <f t="shared" si="18"/>
        <v>0.33637533637533634</v>
      </c>
      <c r="Z83" s="12">
        <f t="shared" si="19"/>
        <v>5819.1460869565217</v>
      </c>
      <c r="AA83" s="8" t="str">
        <f t="shared" si="20"/>
        <v>Controlado</v>
      </c>
    </row>
    <row r="84" spans="1:27">
      <c r="A84" s="8" t="s">
        <v>266</v>
      </c>
      <c r="B84" s="8" t="s">
        <v>120</v>
      </c>
      <c r="C84" s="8" t="s">
        <v>253</v>
      </c>
      <c r="D84" s="8" t="s">
        <v>267</v>
      </c>
      <c r="E84" s="8" t="s">
        <v>123</v>
      </c>
      <c r="F84" s="9">
        <v>46185</v>
      </c>
      <c r="G84" s="9">
        <v>46197</v>
      </c>
      <c r="H84" s="9">
        <v>46202</v>
      </c>
      <c r="I84" s="8" t="s">
        <v>134</v>
      </c>
      <c r="J84" s="8" t="s">
        <v>255</v>
      </c>
      <c r="K84" s="10">
        <v>456</v>
      </c>
      <c r="L84" s="10">
        <v>456</v>
      </c>
      <c r="M84" s="11">
        <v>1</v>
      </c>
      <c r="N84" s="11">
        <v>1</v>
      </c>
      <c r="O84" s="12">
        <v>3950675</v>
      </c>
      <c r="P84" s="12">
        <v>3894188</v>
      </c>
      <c r="Q84" s="13">
        <v>322.2</v>
      </c>
      <c r="R84" s="13">
        <v>350.7</v>
      </c>
      <c r="S84" s="8">
        <v>12</v>
      </c>
      <c r="T84" s="8">
        <v>0</v>
      </c>
      <c r="U84" s="12">
        <f t="shared" si="14"/>
        <v>-56487</v>
      </c>
      <c r="V84" s="11">
        <f t="shared" si="15"/>
        <v>-1.4298062989236016E-2</v>
      </c>
      <c r="W84" s="11">
        <f t="shared" si="16"/>
        <v>0</v>
      </c>
      <c r="X84" s="8">
        <f t="shared" si="17"/>
        <v>5</v>
      </c>
      <c r="Y84" s="14">
        <f t="shared" si="18"/>
        <v>1.300256629597947</v>
      </c>
      <c r="Z84" s="12">
        <f t="shared" si="19"/>
        <v>8539.8859649122805</v>
      </c>
      <c r="AA84" s="8" t="str">
        <f t="shared" si="20"/>
        <v>Controlado</v>
      </c>
    </row>
    <row r="85" spans="1:27">
      <c r="A85" s="8" t="s">
        <v>268</v>
      </c>
      <c r="B85" s="8" t="s">
        <v>120</v>
      </c>
      <c r="C85" s="8" t="s">
        <v>253</v>
      </c>
      <c r="D85" s="8" t="s">
        <v>269</v>
      </c>
      <c r="E85" s="8" t="s">
        <v>137</v>
      </c>
      <c r="F85" s="9">
        <v>46185</v>
      </c>
      <c r="G85" s="9">
        <v>46190</v>
      </c>
      <c r="H85" s="9">
        <v>46194</v>
      </c>
      <c r="I85" s="8" t="s">
        <v>134</v>
      </c>
      <c r="J85" s="8" t="s">
        <v>255</v>
      </c>
      <c r="K85" s="10">
        <v>417</v>
      </c>
      <c r="L85" s="10">
        <v>417</v>
      </c>
      <c r="M85" s="11">
        <v>1</v>
      </c>
      <c r="N85" s="11">
        <v>1</v>
      </c>
      <c r="O85" s="12">
        <v>8561349</v>
      </c>
      <c r="P85" s="12">
        <v>8785824</v>
      </c>
      <c r="Q85" s="13">
        <v>876.4</v>
      </c>
      <c r="R85" s="13">
        <v>1003.7</v>
      </c>
      <c r="S85" s="8">
        <v>4</v>
      </c>
      <c r="T85" s="8">
        <v>0</v>
      </c>
      <c r="U85" s="12">
        <f t="shared" si="14"/>
        <v>224475</v>
      </c>
      <c r="V85" s="11">
        <f t="shared" si="15"/>
        <v>2.621958291853305E-2</v>
      </c>
      <c r="W85" s="11">
        <f t="shared" si="16"/>
        <v>0</v>
      </c>
      <c r="X85" s="8">
        <f t="shared" si="17"/>
        <v>4</v>
      </c>
      <c r="Y85" s="14">
        <f t="shared" si="18"/>
        <v>0.41546278768556338</v>
      </c>
      <c r="Z85" s="12">
        <f t="shared" si="19"/>
        <v>21069.122302158274</v>
      </c>
      <c r="AA85" s="8" t="str">
        <f t="shared" si="20"/>
        <v>Controlado</v>
      </c>
    </row>
    <row r="86" spans="1:27">
      <c r="A86" s="8" t="s">
        <v>270</v>
      </c>
      <c r="B86" s="8" t="s">
        <v>120</v>
      </c>
      <c r="C86" s="8" t="s">
        <v>253</v>
      </c>
      <c r="D86" s="8" t="s">
        <v>271</v>
      </c>
      <c r="E86" s="8" t="s">
        <v>123</v>
      </c>
      <c r="F86" s="9">
        <v>46187</v>
      </c>
      <c r="G86" s="9">
        <v>46194</v>
      </c>
      <c r="H86" s="9">
        <v>46201</v>
      </c>
      <c r="I86" s="8" t="s">
        <v>134</v>
      </c>
      <c r="J86" s="8" t="s">
        <v>125</v>
      </c>
      <c r="K86" s="10">
        <v>36</v>
      </c>
      <c r="L86" s="10">
        <v>36</v>
      </c>
      <c r="M86" s="11">
        <v>1</v>
      </c>
      <c r="N86" s="11">
        <v>1</v>
      </c>
      <c r="O86" s="12">
        <v>10685113</v>
      </c>
      <c r="P86" s="12">
        <v>10266694</v>
      </c>
      <c r="Q86" s="13">
        <v>99.9</v>
      </c>
      <c r="R86" s="13">
        <v>96.1</v>
      </c>
      <c r="S86" s="8">
        <v>8</v>
      </c>
      <c r="T86" s="8">
        <v>0</v>
      </c>
      <c r="U86" s="12">
        <f t="shared" si="14"/>
        <v>-418419</v>
      </c>
      <c r="V86" s="11">
        <f t="shared" si="15"/>
        <v>-3.9159061771269987E-2</v>
      </c>
      <c r="W86" s="11">
        <f t="shared" si="16"/>
        <v>0</v>
      </c>
      <c r="X86" s="8">
        <f t="shared" si="17"/>
        <v>7</v>
      </c>
      <c r="Y86" s="14">
        <f t="shared" si="18"/>
        <v>0.37460978147762747</v>
      </c>
      <c r="Z86" s="12">
        <f t="shared" si="19"/>
        <v>285185.94444444444</v>
      </c>
      <c r="AA86" s="8" t="str">
        <f t="shared" si="20"/>
        <v>Controlado</v>
      </c>
    </row>
    <row r="87" spans="1:27">
      <c r="A87" s="8" t="s">
        <v>272</v>
      </c>
      <c r="B87" s="8" t="s">
        <v>120</v>
      </c>
      <c r="C87" s="8" t="s">
        <v>253</v>
      </c>
      <c r="D87" s="8" t="s">
        <v>273</v>
      </c>
      <c r="E87" s="8" t="s">
        <v>137</v>
      </c>
      <c r="F87" s="9">
        <v>46185</v>
      </c>
      <c r="G87" s="9">
        <v>46197</v>
      </c>
      <c r="H87" s="9"/>
      <c r="I87" s="8" t="s">
        <v>124</v>
      </c>
      <c r="J87" s="8" t="s">
        <v>255</v>
      </c>
      <c r="K87" s="10">
        <v>685</v>
      </c>
      <c r="L87" s="10">
        <v>621.27</v>
      </c>
      <c r="M87" s="11">
        <v>1</v>
      </c>
      <c r="N87" s="11">
        <v>0.90700000000000003</v>
      </c>
      <c r="O87" s="12">
        <v>13986980</v>
      </c>
      <c r="P87" s="12">
        <v>13212858</v>
      </c>
      <c r="Q87" s="13">
        <v>1441</v>
      </c>
      <c r="R87" s="13">
        <v>1460.9</v>
      </c>
      <c r="S87" s="8">
        <v>18</v>
      </c>
      <c r="T87" s="8">
        <v>0</v>
      </c>
      <c r="U87" s="12">
        <f t="shared" si="14"/>
        <v>-774122</v>
      </c>
      <c r="V87" s="11">
        <f t="shared" si="15"/>
        <v>-5.5345900258669131E-2</v>
      </c>
      <c r="W87" s="11">
        <f t="shared" si="16"/>
        <v>-9.2999999999999972E-2</v>
      </c>
      <c r="X87" s="8">
        <f t="shared" si="17"/>
        <v>68</v>
      </c>
      <c r="Y87" s="14">
        <f t="shared" si="18"/>
        <v>0.42526524745020189</v>
      </c>
      <c r="Z87" s="12">
        <f t="shared" si="19"/>
        <v>21267.497223429429</v>
      </c>
      <c r="AA87" s="8" t="str">
        <f t="shared" si="20"/>
        <v>Controlado</v>
      </c>
    </row>
    <row r="88" spans="1:27">
      <c r="A88" s="8" t="s">
        <v>274</v>
      </c>
      <c r="B88" s="8" t="s">
        <v>120</v>
      </c>
      <c r="C88" s="8" t="s">
        <v>253</v>
      </c>
      <c r="D88" s="8" t="s">
        <v>275</v>
      </c>
      <c r="E88" s="8" t="s">
        <v>128</v>
      </c>
      <c r="F88" s="9">
        <v>46187</v>
      </c>
      <c r="G88" s="9">
        <v>46191</v>
      </c>
      <c r="H88" s="9">
        <v>46196</v>
      </c>
      <c r="I88" s="8" t="s">
        <v>134</v>
      </c>
      <c r="J88" s="8" t="s">
        <v>255</v>
      </c>
      <c r="K88" s="10">
        <v>487</v>
      </c>
      <c r="L88" s="10">
        <v>487</v>
      </c>
      <c r="M88" s="11">
        <v>1</v>
      </c>
      <c r="N88" s="11">
        <v>1</v>
      </c>
      <c r="O88" s="12">
        <v>6608206</v>
      </c>
      <c r="P88" s="12">
        <v>6387615</v>
      </c>
      <c r="Q88" s="13">
        <v>567.20000000000005</v>
      </c>
      <c r="R88" s="13">
        <v>611.4</v>
      </c>
      <c r="S88" s="8">
        <v>17</v>
      </c>
      <c r="T88" s="8">
        <v>0</v>
      </c>
      <c r="U88" s="12">
        <f t="shared" si="14"/>
        <v>-220591</v>
      </c>
      <c r="V88" s="11">
        <f t="shared" si="15"/>
        <v>-3.3381374612111062E-2</v>
      </c>
      <c r="W88" s="11">
        <f t="shared" si="16"/>
        <v>0</v>
      </c>
      <c r="X88" s="8">
        <f t="shared" si="17"/>
        <v>5</v>
      </c>
      <c r="Y88" s="14">
        <f t="shared" si="18"/>
        <v>0.79653254824991826</v>
      </c>
      <c r="Z88" s="12">
        <f t="shared" si="19"/>
        <v>13116.252566735113</v>
      </c>
      <c r="AA88" s="8" t="str">
        <f t="shared" si="20"/>
        <v>Controlado</v>
      </c>
    </row>
    <row r="89" spans="1:27">
      <c r="A89" s="8" t="s">
        <v>276</v>
      </c>
      <c r="B89" s="8" t="s">
        <v>120</v>
      </c>
      <c r="C89" s="8" t="s">
        <v>253</v>
      </c>
      <c r="D89" s="8" t="s">
        <v>277</v>
      </c>
      <c r="E89" s="8" t="s">
        <v>131</v>
      </c>
      <c r="F89" s="9">
        <v>46191</v>
      </c>
      <c r="G89" s="9">
        <v>46199</v>
      </c>
      <c r="H89" s="9">
        <v>46204</v>
      </c>
      <c r="I89" s="8" t="s">
        <v>134</v>
      </c>
      <c r="J89" s="8" t="s">
        <v>255</v>
      </c>
      <c r="K89" s="10">
        <v>886</v>
      </c>
      <c r="L89" s="10">
        <v>886</v>
      </c>
      <c r="M89" s="11">
        <v>1</v>
      </c>
      <c r="N89" s="11">
        <v>1</v>
      </c>
      <c r="O89" s="12">
        <v>15191403</v>
      </c>
      <c r="P89" s="12">
        <v>15909787</v>
      </c>
      <c r="Q89" s="13">
        <v>1526.6</v>
      </c>
      <c r="R89" s="13">
        <v>1468.3</v>
      </c>
      <c r="S89" s="8">
        <v>12</v>
      </c>
      <c r="T89" s="8">
        <v>0</v>
      </c>
      <c r="U89" s="12">
        <f t="shared" si="14"/>
        <v>718384</v>
      </c>
      <c r="V89" s="11">
        <f t="shared" si="15"/>
        <v>4.7288851464213015E-2</v>
      </c>
      <c r="W89" s="11">
        <f t="shared" si="16"/>
        <v>0</v>
      </c>
      <c r="X89" s="8">
        <f t="shared" si="17"/>
        <v>5</v>
      </c>
      <c r="Y89" s="14">
        <f t="shared" si="18"/>
        <v>0.60341891983926987</v>
      </c>
      <c r="Z89" s="12">
        <f t="shared" si="19"/>
        <v>17956.87020316027</v>
      </c>
      <c r="AA89" s="8" t="str">
        <f t="shared" si="20"/>
        <v>Controlado</v>
      </c>
    </row>
    <row r="90" spans="1:27">
      <c r="A90" s="8" t="s">
        <v>278</v>
      </c>
      <c r="B90" s="8" t="s">
        <v>120</v>
      </c>
      <c r="C90" s="8" t="s">
        <v>253</v>
      </c>
      <c r="D90" s="8" t="s">
        <v>279</v>
      </c>
      <c r="E90" s="8" t="s">
        <v>123</v>
      </c>
      <c r="F90" s="9">
        <v>46191</v>
      </c>
      <c r="G90" s="9">
        <v>46200</v>
      </c>
      <c r="H90" s="9"/>
      <c r="I90" s="8" t="s">
        <v>124</v>
      </c>
      <c r="J90" s="8" t="s">
        <v>255</v>
      </c>
      <c r="K90" s="10">
        <v>498</v>
      </c>
      <c r="L90" s="10">
        <v>418.28</v>
      </c>
      <c r="M90" s="11">
        <v>1</v>
      </c>
      <c r="N90" s="11">
        <v>0.83989999999999998</v>
      </c>
      <c r="O90" s="12">
        <v>7572978</v>
      </c>
      <c r="P90" s="12">
        <v>7154055</v>
      </c>
      <c r="Q90" s="13">
        <v>1155.5</v>
      </c>
      <c r="R90" s="13">
        <v>977.8</v>
      </c>
      <c r="S90" s="8">
        <v>6</v>
      </c>
      <c r="T90" s="8">
        <v>0</v>
      </c>
      <c r="U90" s="12">
        <f t="shared" si="14"/>
        <v>-418923</v>
      </c>
      <c r="V90" s="11">
        <f t="shared" si="15"/>
        <v>-5.5318132444066255E-2</v>
      </c>
      <c r="W90" s="11">
        <f t="shared" si="16"/>
        <v>-0.16010000000000002</v>
      </c>
      <c r="X90" s="8">
        <f t="shared" si="17"/>
        <v>65</v>
      </c>
      <c r="Y90" s="14">
        <f t="shared" si="18"/>
        <v>0.42777664143996724</v>
      </c>
      <c r="Z90" s="12">
        <f t="shared" si="19"/>
        <v>17103.50722004399</v>
      </c>
      <c r="AA90" s="8" t="str">
        <f t="shared" si="20"/>
        <v>Atenção</v>
      </c>
    </row>
    <row r="91" spans="1:27">
      <c r="A91" s="8" t="s">
        <v>280</v>
      </c>
      <c r="B91" s="8" t="s">
        <v>120</v>
      </c>
      <c r="C91" s="8" t="s">
        <v>253</v>
      </c>
      <c r="D91" s="8" t="s">
        <v>281</v>
      </c>
      <c r="E91" s="8" t="s">
        <v>131</v>
      </c>
      <c r="F91" s="9">
        <v>46188</v>
      </c>
      <c r="G91" s="9">
        <v>46202</v>
      </c>
      <c r="H91" s="9"/>
      <c r="I91" s="8" t="s">
        <v>124</v>
      </c>
      <c r="J91" s="8" t="s">
        <v>125</v>
      </c>
      <c r="K91" s="10">
        <v>38</v>
      </c>
      <c r="L91" s="10">
        <v>32.32</v>
      </c>
      <c r="M91" s="11">
        <v>1</v>
      </c>
      <c r="N91" s="11">
        <v>0.85050000000000003</v>
      </c>
      <c r="O91" s="12">
        <v>11274194</v>
      </c>
      <c r="P91" s="12">
        <v>8953617</v>
      </c>
      <c r="Q91" s="13">
        <v>88.4</v>
      </c>
      <c r="R91" s="13">
        <v>80</v>
      </c>
      <c r="S91" s="8">
        <v>16</v>
      </c>
      <c r="T91" s="8">
        <v>0</v>
      </c>
      <c r="U91" s="12">
        <f t="shared" si="14"/>
        <v>-2320577</v>
      </c>
      <c r="V91" s="11">
        <f t="shared" si="15"/>
        <v>-0.20583085584654653</v>
      </c>
      <c r="W91" s="11">
        <f t="shared" si="16"/>
        <v>-0.14949999999999997</v>
      </c>
      <c r="X91" s="8">
        <f t="shared" si="17"/>
        <v>63</v>
      </c>
      <c r="Y91" s="14">
        <f t="shared" si="18"/>
        <v>0.40400000000000003</v>
      </c>
      <c r="Z91" s="12">
        <f t="shared" si="19"/>
        <v>277030.22896039602</v>
      </c>
      <c r="AA91" s="8" t="str">
        <f t="shared" si="20"/>
        <v>Atenção</v>
      </c>
    </row>
    <row r="92" spans="1:27">
      <c r="A92" s="8" t="s">
        <v>282</v>
      </c>
      <c r="B92" s="8" t="s">
        <v>120</v>
      </c>
      <c r="C92" s="8" t="s">
        <v>253</v>
      </c>
      <c r="D92" s="8" t="s">
        <v>283</v>
      </c>
      <c r="E92" s="8" t="s">
        <v>143</v>
      </c>
      <c r="F92" s="9">
        <v>46189</v>
      </c>
      <c r="G92" s="9">
        <v>46205</v>
      </c>
      <c r="H92" s="9"/>
      <c r="I92" s="8" t="s">
        <v>124</v>
      </c>
      <c r="J92" s="8" t="s">
        <v>255</v>
      </c>
      <c r="K92" s="10">
        <v>380</v>
      </c>
      <c r="L92" s="10">
        <v>338.71</v>
      </c>
      <c r="M92" s="11">
        <v>1</v>
      </c>
      <c r="N92" s="11">
        <v>0.89129999999999998</v>
      </c>
      <c r="O92" s="12">
        <v>5114531</v>
      </c>
      <c r="P92" s="12">
        <v>4296680</v>
      </c>
      <c r="Q92" s="13">
        <v>440.5</v>
      </c>
      <c r="R92" s="13">
        <v>371.9</v>
      </c>
      <c r="S92" s="8">
        <v>8</v>
      </c>
      <c r="T92" s="8">
        <v>0</v>
      </c>
      <c r="U92" s="12">
        <f t="shared" si="14"/>
        <v>-817851</v>
      </c>
      <c r="V92" s="11">
        <f t="shared" si="15"/>
        <v>-0.15990733070148563</v>
      </c>
      <c r="W92" s="11">
        <f t="shared" si="16"/>
        <v>-0.10870000000000002</v>
      </c>
      <c r="X92" s="8">
        <f t="shared" si="17"/>
        <v>60</v>
      </c>
      <c r="Y92" s="14">
        <f t="shared" si="18"/>
        <v>0.91075557945684327</v>
      </c>
      <c r="Z92" s="12">
        <f t="shared" si="19"/>
        <v>12685.424109119896</v>
      </c>
      <c r="AA92" s="8" t="str">
        <f t="shared" si="20"/>
        <v>Atenção</v>
      </c>
    </row>
    <row r="93" spans="1:27">
      <c r="A93" s="8" t="s">
        <v>284</v>
      </c>
      <c r="B93" s="8" t="s">
        <v>120</v>
      </c>
      <c r="C93" s="8" t="s">
        <v>253</v>
      </c>
      <c r="D93" s="8" t="s">
        <v>285</v>
      </c>
      <c r="E93" s="8" t="s">
        <v>137</v>
      </c>
      <c r="F93" s="9">
        <v>46195</v>
      </c>
      <c r="G93" s="9">
        <v>46204</v>
      </c>
      <c r="H93" s="9">
        <v>46207</v>
      </c>
      <c r="I93" s="8" t="s">
        <v>134</v>
      </c>
      <c r="J93" s="8" t="s">
        <v>255</v>
      </c>
      <c r="K93" s="10">
        <v>638</v>
      </c>
      <c r="L93" s="10">
        <v>638</v>
      </c>
      <c r="M93" s="11">
        <v>1</v>
      </c>
      <c r="N93" s="11">
        <v>1</v>
      </c>
      <c r="O93" s="12">
        <v>11216822</v>
      </c>
      <c r="P93" s="12">
        <v>12320997</v>
      </c>
      <c r="Q93" s="13">
        <v>594.70000000000005</v>
      </c>
      <c r="R93" s="13">
        <v>624.1</v>
      </c>
      <c r="S93" s="8">
        <v>4</v>
      </c>
      <c r="T93" s="8">
        <v>0</v>
      </c>
      <c r="U93" s="12">
        <f t="shared" si="14"/>
        <v>1104175</v>
      </c>
      <c r="V93" s="11">
        <f t="shared" si="15"/>
        <v>9.8439201406601617E-2</v>
      </c>
      <c r="W93" s="11">
        <f t="shared" si="16"/>
        <v>0</v>
      </c>
      <c r="X93" s="8">
        <f t="shared" si="17"/>
        <v>3</v>
      </c>
      <c r="Y93" s="14">
        <f t="shared" si="18"/>
        <v>1.022272071783368</v>
      </c>
      <c r="Z93" s="12">
        <f t="shared" si="19"/>
        <v>19311.90752351097</v>
      </c>
      <c r="AA93" s="8" t="str">
        <f t="shared" si="20"/>
        <v>Controlado</v>
      </c>
    </row>
    <row r="94" spans="1:27">
      <c r="A94" s="8" t="s">
        <v>286</v>
      </c>
      <c r="B94" s="8" t="s">
        <v>120</v>
      </c>
      <c r="C94" s="8" t="s">
        <v>287</v>
      </c>
      <c r="D94" s="8" t="s">
        <v>288</v>
      </c>
      <c r="E94" s="8" t="s">
        <v>137</v>
      </c>
      <c r="F94" s="9">
        <v>46193</v>
      </c>
      <c r="G94" s="9">
        <v>46206</v>
      </c>
      <c r="H94" s="9">
        <v>46213</v>
      </c>
      <c r="I94" s="8" t="s">
        <v>134</v>
      </c>
      <c r="J94" s="8" t="s">
        <v>228</v>
      </c>
      <c r="K94" s="10">
        <v>373</v>
      </c>
      <c r="L94" s="10">
        <v>373</v>
      </c>
      <c r="M94" s="11">
        <v>1</v>
      </c>
      <c r="N94" s="11">
        <v>1</v>
      </c>
      <c r="O94" s="12">
        <v>11059603</v>
      </c>
      <c r="P94" s="12">
        <v>11537030</v>
      </c>
      <c r="Q94" s="13">
        <v>741.8</v>
      </c>
      <c r="R94" s="13">
        <v>697.6</v>
      </c>
      <c r="S94" s="8">
        <v>15</v>
      </c>
      <c r="T94" s="8">
        <v>0</v>
      </c>
      <c r="U94" s="12">
        <f t="shared" si="14"/>
        <v>477427</v>
      </c>
      <c r="V94" s="11">
        <f t="shared" si="15"/>
        <v>4.3168547731776627E-2</v>
      </c>
      <c r="W94" s="11">
        <f t="shared" si="16"/>
        <v>0</v>
      </c>
      <c r="X94" s="8">
        <f t="shared" si="17"/>
        <v>7</v>
      </c>
      <c r="Y94" s="14">
        <f t="shared" si="18"/>
        <v>0.53469036697247707</v>
      </c>
      <c r="Z94" s="12">
        <f t="shared" si="19"/>
        <v>30930.375335120643</v>
      </c>
      <c r="AA94" s="8" t="str">
        <f t="shared" si="20"/>
        <v>Controlado</v>
      </c>
    </row>
    <row r="95" spans="1:27">
      <c r="A95" s="8" t="s">
        <v>289</v>
      </c>
      <c r="B95" s="8" t="s">
        <v>120</v>
      </c>
      <c r="C95" s="8" t="s">
        <v>287</v>
      </c>
      <c r="D95" s="8" t="s">
        <v>290</v>
      </c>
      <c r="E95" s="8" t="s">
        <v>128</v>
      </c>
      <c r="F95" s="9">
        <v>46195</v>
      </c>
      <c r="G95" s="9">
        <v>46208</v>
      </c>
      <c r="H95" s="9"/>
      <c r="I95" s="8" t="s">
        <v>124</v>
      </c>
      <c r="J95" s="8" t="s">
        <v>228</v>
      </c>
      <c r="K95" s="10">
        <v>372</v>
      </c>
      <c r="L95" s="10">
        <v>362.69</v>
      </c>
      <c r="M95" s="11">
        <v>1</v>
      </c>
      <c r="N95" s="11">
        <v>0.97499999999999998</v>
      </c>
      <c r="O95" s="12">
        <v>8497543</v>
      </c>
      <c r="P95" s="12">
        <v>8187878</v>
      </c>
      <c r="Q95" s="13">
        <v>350.9</v>
      </c>
      <c r="R95" s="13">
        <v>327.2</v>
      </c>
      <c r="S95" s="8">
        <v>8</v>
      </c>
      <c r="T95" s="8">
        <v>0</v>
      </c>
      <c r="U95" s="12">
        <f t="shared" si="14"/>
        <v>-309665</v>
      </c>
      <c r="V95" s="11">
        <f t="shared" si="15"/>
        <v>-3.6441710268485847E-2</v>
      </c>
      <c r="W95" s="11">
        <f t="shared" si="16"/>
        <v>-2.5000000000000022E-2</v>
      </c>
      <c r="X95" s="8">
        <f t="shared" si="17"/>
        <v>57</v>
      </c>
      <c r="Y95" s="14">
        <f t="shared" si="18"/>
        <v>1.1084657701711491</v>
      </c>
      <c r="Z95" s="12">
        <f t="shared" si="19"/>
        <v>22575.417022801841</v>
      </c>
      <c r="AA95" s="8" t="str">
        <f t="shared" si="20"/>
        <v>Controlado</v>
      </c>
    </row>
    <row r="96" spans="1:27">
      <c r="A96" s="8" t="s">
        <v>291</v>
      </c>
      <c r="B96" s="8" t="s">
        <v>120</v>
      </c>
      <c r="C96" s="8" t="s">
        <v>287</v>
      </c>
      <c r="D96" s="8" t="s">
        <v>292</v>
      </c>
      <c r="E96" s="8" t="s">
        <v>137</v>
      </c>
      <c r="F96" s="9">
        <v>46200</v>
      </c>
      <c r="G96" s="9">
        <v>46212</v>
      </c>
      <c r="H96" s="9"/>
      <c r="I96" s="8" t="s">
        <v>124</v>
      </c>
      <c r="J96" s="8" t="s">
        <v>228</v>
      </c>
      <c r="K96" s="10">
        <v>805</v>
      </c>
      <c r="L96" s="10">
        <v>660</v>
      </c>
      <c r="M96" s="11">
        <v>1</v>
      </c>
      <c r="N96" s="11">
        <v>0.81989999999999996</v>
      </c>
      <c r="O96" s="12">
        <v>10157033</v>
      </c>
      <c r="P96" s="12">
        <v>7677318</v>
      </c>
      <c r="Q96" s="13">
        <v>1810.4</v>
      </c>
      <c r="R96" s="13">
        <v>1386.7</v>
      </c>
      <c r="S96" s="8">
        <v>13</v>
      </c>
      <c r="T96" s="8">
        <v>0</v>
      </c>
      <c r="U96" s="12">
        <f t="shared" si="14"/>
        <v>-2479715</v>
      </c>
      <c r="V96" s="11">
        <f t="shared" si="15"/>
        <v>-0.24413773195380975</v>
      </c>
      <c r="W96" s="11">
        <f t="shared" si="16"/>
        <v>-0.18010000000000004</v>
      </c>
      <c r="X96" s="8">
        <f t="shared" si="17"/>
        <v>53</v>
      </c>
      <c r="Y96" s="14">
        <f t="shared" si="18"/>
        <v>0.47595009735342897</v>
      </c>
      <c r="Z96" s="12">
        <f t="shared" si="19"/>
        <v>11632.3</v>
      </c>
      <c r="AA96" s="8" t="str">
        <f t="shared" si="20"/>
        <v>Atenção</v>
      </c>
    </row>
    <row r="97" spans="1:27">
      <c r="A97" s="8" t="s">
        <v>293</v>
      </c>
      <c r="B97" s="8" t="s">
        <v>120</v>
      </c>
      <c r="C97" s="8" t="s">
        <v>287</v>
      </c>
      <c r="D97" s="8" t="s">
        <v>294</v>
      </c>
      <c r="E97" s="8" t="s">
        <v>143</v>
      </c>
      <c r="F97" s="9">
        <v>46197</v>
      </c>
      <c r="G97" s="9">
        <v>46202</v>
      </c>
      <c r="H97" s="9"/>
      <c r="I97" s="8" t="s">
        <v>124</v>
      </c>
      <c r="J97" s="8" t="s">
        <v>228</v>
      </c>
      <c r="K97" s="10">
        <v>370</v>
      </c>
      <c r="L97" s="10">
        <v>319.87</v>
      </c>
      <c r="M97" s="11">
        <v>1</v>
      </c>
      <c r="N97" s="11">
        <v>0.86450000000000005</v>
      </c>
      <c r="O97" s="12">
        <v>13654167</v>
      </c>
      <c r="P97" s="12">
        <v>11135662</v>
      </c>
      <c r="Q97" s="13">
        <v>380.9</v>
      </c>
      <c r="R97" s="13">
        <v>328.7</v>
      </c>
      <c r="S97" s="8">
        <v>13</v>
      </c>
      <c r="T97" s="8">
        <v>0</v>
      </c>
      <c r="U97" s="12">
        <f t="shared" si="14"/>
        <v>-2518505</v>
      </c>
      <c r="V97" s="11">
        <f t="shared" si="15"/>
        <v>-0.18444955301923582</v>
      </c>
      <c r="W97" s="11">
        <f t="shared" si="16"/>
        <v>-0.13549999999999995</v>
      </c>
      <c r="X97" s="8">
        <f t="shared" si="17"/>
        <v>63</v>
      </c>
      <c r="Y97" s="14">
        <f t="shared" si="18"/>
        <v>0.97313659872223912</v>
      </c>
      <c r="Z97" s="12">
        <f t="shared" si="19"/>
        <v>34813.086566417609</v>
      </c>
      <c r="AA97" s="8" t="str">
        <f t="shared" si="20"/>
        <v>Atenção</v>
      </c>
    </row>
    <row r="98" spans="1:27">
      <c r="A98" s="8" t="s">
        <v>295</v>
      </c>
      <c r="B98" s="8" t="s">
        <v>120</v>
      </c>
      <c r="C98" s="8" t="s">
        <v>287</v>
      </c>
      <c r="D98" s="8" t="s">
        <v>296</v>
      </c>
      <c r="E98" s="8" t="s">
        <v>128</v>
      </c>
      <c r="F98" s="9">
        <v>46200</v>
      </c>
      <c r="G98" s="9">
        <v>46205</v>
      </c>
      <c r="H98" s="9">
        <v>46210</v>
      </c>
      <c r="I98" s="8" t="s">
        <v>134</v>
      </c>
      <c r="J98" s="8" t="s">
        <v>228</v>
      </c>
      <c r="K98" s="10">
        <v>614</v>
      </c>
      <c r="L98" s="10">
        <v>614</v>
      </c>
      <c r="M98" s="11">
        <v>1</v>
      </c>
      <c r="N98" s="11">
        <v>1</v>
      </c>
      <c r="O98" s="12">
        <v>11327948</v>
      </c>
      <c r="P98" s="12">
        <v>10689138</v>
      </c>
      <c r="Q98" s="13">
        <v>691.2</v>
      </c>
      <c r="R98" s="13">
        <v>671.7</v>
      </c>
      <c r="S98" s="8">
        <v>14</v>
      </c>
      <c r="T98" s="8">
        <v>0</v>
      </c>
      <c r="U98" s="12">
        <f t="shared" ref="U98:U133" si="21">P98-O98</f>
        <v>-638810</v>
      </c>
      <c r="V98" s="11">
        <f t="shared" ref="V98:V129" si="22">IFERROR(U98/O98,0)</f>
        <v>-5.6392384569561936E-2</v>
      </c>
      <c r="W98" s="11">
        <f t="shared" ref="W98:W133" si="23">N98-M98</f>
        <v>0</v>
      </c>
      <c r="X98" s="8">
        <f t="shared" ref="X98:X133" si="24">IF(H98&lt;&gt;"",MAX(0,H98-G98),MAX(0,DATE(2026,8,31)-G98))</f>
        <v>5</v>
      </c>
      <c r="Y98" s="14">
        <f t="shared" ref="Y98:Y133" si="25">IFERROR(L98/R98,0)</f>
        <v>0.91409855590293276</v>
      </c>
      <c r="Z98" s="12">
        <f t="shared" ref="Z98:Z133" si="26">IFERROR(P98/L98,0)</f>
        <v>17409.01954397394</v>
      </c>
      <c r="AA98" s="8" t="str">
        <f t="shared" ref="AA98:AA133" si="27">IF(V98&gt;0.1,"Crítico",IF(W98&lt;-0.1,"Atenção","Controlado"))</f>
        <v>Controlado</v>
      </c>
    </row>
    <row r="99" spans="1:27">
      <c r="A99" s="8" t="s">
        <v>297</v>
      </c>
      <c r="B99" s="8" t="s">
        <v>120</v>
      </c>
      <c r="C99" s="8" t="s">
        <v>287</v>
      </c>
      <c r="D99" s="8" t="s">
        <v>298</v>
      </c>
      <c r="E99" s="8" t="s">
        <v>128</v>
      </c>
      <c r="F99" s="9">
        <v>46200</v>
      </c>
      <c r="G99" s="9">
        <v>46205</v>
      </c>
      <c r="H99" s="9">
        <v>46202</v>
      </c>
      <c r="I99" s="8" t="s">
        <v>134</v>
      </c>
      <c r="J99" s="8" t="s">
        <v>228</v>
      </c>
      <c r="K99" s="10">
        <v>95</v>
      </c>
      <c r="L99" s="10">
        <v>95</v>
      </c>
      <c r="M99" s="11">
        <v>1</v>
      </c>
      <c r="N99" s="11">
        <v>1</v>
      </c>
      <c r="O99" s="12">
        <v>2332802</v>
      </c>
      <c r="P99" s="12">
        <v>2260102</v>
      </c>
      <c r="Q99" s="13">
        <v>218</v>
      </c>
      <c r="R99" s="13">
        <v>202.3</v>
      </c>
      <c r="S99" s="8">
        <v>18</v>
      </c>
      <c r="T99" s="8">
        <v>0</v>
      </c>
      <c r="U99" s="12">
        <f t="shared" si="21"/>
        <v>-72700</v>
      </c>
      <c r="V99" s="11">
        <f t="shared" si="22"/>
        <v>-3.1164239399657578E-2</v>
      </c>
      <c r="W99" s="11">
        <f t="shared" si="23"/>
        <v>0</v>
      </c>
      <c r="X99" s="8">
        <f t="shared" si="24"/>
        <v>0</v>
      </c>
      <c r="Y99" s="14">
        <f t="shared" si="25"/>
        <v>0.46959960454770139</v>
      </c>
      <c r="Z99" s="12">
        <f t="shared" si="26"/>
        <v>23790.547368421052</v>
      </c>
      <c r="AA99" s="8" t="str">
        <f t="shared" si="27"/>
        <v>Controlado</v>
      </c>
    </row>
    <row r="100" spans="1:27">
      <c r="A100" s="8" t="s">
        <v>299</v>
      </c>
      <c r="B100" s="8" t="s">
        <v>120</v>
      </c>
      <c r="C100" s="8" t="s">
        <v>287</v>
      </c>
      <c r="D100" s="8" t="s">
        <v>300</v>
      </c>
      <c r="E100" s="8" t="s">
        <v>123</v>
      </c>
      <c r="F100" s="9">
        <v>46201</v>
      </c>
      <c r="G100" s="9">
        <v>46206</v>
      </c>
      <c r="H100" s="9">
        <v>46208</v>
      </c>
      <c r="I100" s="8" t="s">
        <v>134</v>
      </c>
      <c r="J100" s="8" t="s">
        <v>228</v>
      </c>
      <c r="K100" s="10">
        <v>723</v>
      </c>
      <c r="L100" s="10">
        <v>723</v>
      </c>
      <c r="M100" s="11">
        <v>1</v>
      </c>
      <c r="N100" s="11">
        <v>1</v>
      </c>
      <c r="O100" s="12">
        <v>5713408</v>
      </c>
      <c r="P100" s="12">
        <v>5735391</v>
      </c>
      <c r="Q100" s="13">
        <v>1869.1</v>
      </c>
      <c r="R100" s="13">
        <v>2028.8</v>
      </c>
      <c r="S100" s="8">
        <v>12</v>
      </c>
      <c r="T100" s="8">
        <v>0</v>
      </c>
      <c r="U100" s="12">
        <f t="shared" si="21"/>
        <v>21983</v>
      </c>
      <c r="V100" s="11">
        <f t="shared" si="22"/>
        <v>3.84761599381665E-3</v>
      </c>
      <c r="W100" s="11">
        <f t="shared" si="23"/>
        <v>0</v>
      </c>
      <c r="X100" s="8">
        <f t="shared" si="24"/>
        <v>2</v>
      </c>
      <c r="Y100" s="14">
        <f t="shared" si="25"/>
        <v>0.35636829652996849</v>
      </c>
      <c r="Z100" s="12">
        <f t="shared" si="26"/>
        <v>7932.767634854772</v>
      </c>
      <c r="AA100" s="8" t="str">
        <f t="shared" si="27"/>
        <v>Controlado</v>
      </c>
    </row>
    <row r="101" spans="1:27">
      <c r="A101" s="8" t="s">
        <v>301</v>
      </c>
      <c r="B101" s="8" t="s">
        <v>120</v>
      </c>
      <c r="C101" s="8" t="s">
        <v>287</v>
      </c>
      <c r="D101" s="8" t="s">
        <v>302</v>
      </c>
      <c r="E101" s="8" t="s">
        <v>143</v>
      </c>
      <c r="F101" s="9">
        <v>46203</v>
      </c>
      <c r="G101" s="9">
        <v>46209</v>
      </c>
      <c r="H101" s="9"/>
      <c r="I101" s="8" t="s">
        <v>124</v>
      </c>
      <c r="J101" s="8" t="s">
        <v>228</v>
      </c>
      <c r="K101" s="10">
        <v>552</v>
      </c>
      <c r="L101" s="10">
        <v>436.39</v>
      </c>
      <c r="M101" s="11">
        <v>1</v>
      </c>
      <c r="N101" s="11">
        <v>0.79059999999999997</v>
      </c>
      <c r="O101" s="12">
        <v>15456199</v>
      </c>
      <c r="P101" s="12">
        <v>12316143</v>
      </c>
      <c r="Q101" s="13">
        <v>1467.5</v>
      </c>
      <c r="R101" s="13">
        <v>1306</v>
      </c>
      <c r="S101" s="8">
        <v>10</v>
      </c>
      <c r="T101" s="8">
        <v>0</v>
      </c>
      <c r="U101" s="12">
        <f t="shared" si="21"/>
        <v>-3140056</v>
      </c>
      <c r="V101" s="11">
        <f t="shared" si="22"/>
        <v>-0.2031583573684578</v>
      </c>
      <c r="W101" s="11">
        <f t="shared" si="23"/>
        <v>-0.20940000000000003</v>
      </c>
      <c r="X101" s="8">
        <f t="shared" si="24"/>
        <v>56</v>
      </c>
      <c r="Y101" s="14">
        <f t="shared" si="25"/>
        <v>0.33414241960183766</v>
      </c>
      <c r="Z101" s="12">
        <f t="shared" si="26"/>
        <v>28222.789248149591</v>
      </c>
      <c r="AA101" s="8" t="str">
        <f t="shared" si="27"/>
        <v>Atenção</v>
      </c>
    </row>
    <row r="102" spans="1:27">
      <c r="A102" s="8" t="s">
        <v>303</v>
      </c>
      <c r="B102" s="8" t="s">
        <v>120</v>
      </c>
      <c r="C102" s="8" t="s">
        <v>287</v>
      </c>
      <c r="D102" s="8" t="s">
        <v>304</v>
      </c>
      <c r="E102" s="8" t="s">
        <v>123</v>
      </c>
      <c r="F102" s="9">
        <v>46205</v>
      </c>
      <c r="G102" s="9">
        <v>46218</v>
      </c>
      <c r="H102" s="9"/>
      <c r="I102" s="8" t="s">
        <v>124</v>
      </c>
      <c r="J102" s="8" t="s">
        <v>228</v>
      </c>
      <c r="K102" s="10">
        <v>686</v>
      </c>
      <c r="L102" s="10">
        <v>676.79</v>
      </c>
      <c r="M102" s="11">
        <v>1</v>
      </c>
      <c r="N102" s="11">
        <v>0.98660000000000003</v>
      </c>
      <c r="O102" s="12">
        <v>13594371</v>
      </c>
      <c r="P102" s="12">
        <v>13901120</v>
      </c>
      <c r="Q102" s="13">
        <v>689.3</v>
      </c>
      <c r="R102" s="13">
        <v>763.6</v>
      </c>
      <c r="S102" s="8">
        <v>16</v>
      </c>
      <c r="T102" s="8">
        <v>0</v>
      </c>
      <c r="U102" s="12">
        <f t="shared" si="21"/>
        <v>306749</v>
      </c>
      <c r="V102" s="11">
        <f t="shared" si="22"/>
        <v>2.2564412873534199E-2</v>
      </c>
      <c r="W102" s="11">
        <f t="shared" si="23"/>
        <v>-1.3399999999999967E-2</v>
      </c>
      <c r="X102" s="8">
        <f t="shared" si="24"/>
        <v>47</v>
      </c>
      <c r="Y102" s="14">
        <f t="shared" si="25"/>
        <v>0.88631482451545307</v>
      </c>
      <c r="Z102" s="12">
        <f t="shared" si="26"/>
        <v>20539.783389234475</v>
      </c>
      <c r="AA102" s="8" t="str">
        <f t="shared" si="27"/>
        <v>Controlado</v>
      </c>
    </row>
    <row r="103" spans="1:27">
      <c r="A103" s="8" t="s">
        <v>305</v>
      </c>
      <c r="B103" s="8" t="s">
        <v>120</v>
      </c>
      <c r="C103" s="8" t="s">
        <v>287</v>
      </c>
      <c r="D103" s="8" t="s">
        <v>306</v>
      </c>
      <c r="E103" s="8" t="s">
        <v>123</v>
      </c>
      <c r="F103" s="9">
        <v>46207</v>
      </c>
      <c r="G103" s="9">
        <v>46219</v>
      </c>
      <c r="H103" s="9"/>
      <c r="I103" s="8" t="s">
        <v>124</v>
      </c>
      <c r="J103" s="8" t="s">
        <v>228</v>
      </c>
      <c r="K103" s="10">
        <v>576</v>
      </c>
      <c r="L103" s="10">
        <v>501.46</v>
      </c>
      <c r="M103" s="11">
        <v>1</v>
      </c>
      <c r="N103" s="11">
        <v>0.87060000000000004</v>
      </c>
      <c r="O103" s="12">
        <v>16341248</v>
      </c>
      <c r="P103" s="12">
        <v>15766596</v>
      </c>
      <c r="Q103" s="13">
        <v>1588.5</v>
      </c>
      <c r="R103" s="13">
        <v>1355.6</v>
      </c>
      <c r="S103" s="8">
        <v>6</v>
      </c>
      <c r="T103" s="8">
        <v>0</v>
      </c>
      <c r="U103" s="12">
        <f t="shared" si="21"/>
        <v>-574652</v>
      </c>
      <c r="V103" s="11">
        <f t="shared" si="22"/>
        <v>-3.5165735199661617E-2</v>
      </c>
      <c r="W103" s="11">
        <f t="shared" si="23"/>
        <v>-0.12939999999999996</v>
      </c>
      <c r="X103" s="8">
        <f t="shared" si="24"/>
        <v>46</v>
      </c>
      <c r="Y103" s="14">
        <f t="shared" si="25"/>
        <v>0.36991737975804073</v>
      </c>
      <c r="Z103" s="12">
        <f t="shared" si="26"/>
        <v>31441.383161169386</v>
      </c>
      <c r="AA103" s="8" t="str">
        <f t="shared" si="27"/>
        <v>Atenção</v>
      </c>
    </row>
    <row r="104" spans="1:27">
      <c r="A104" s="8" t="s">
        <v>307</v>
      </c>
      <c r="B104" s="8" t="s">
        <v>120</v>
      </c>
      <c r="C104" s="8" t="s">
        <v>287</v>
      </c>
      <c r="D104" s="8" t="s">
        <v>308</v>
      </c>
      <c r="E104" s="8" t="s">
        <v>123</v>
      </c>
      <c r="F104" s="9">
        <v>46208</v>
      </c>
      <c r="G104" s="9">
        <v>46220</v>
      </c>
      <c r="H104" s="9"/>
      <c r="I104" s="8" t="s">
        <v>124</v>
      </c>
      <c r="J104" s="8" t="s">
        <v>228</v>
      </c>
      <c r="K104" s="10">
        <v>793</v>
      </c>
      <c r="L104" s="10">
        <v>632.63</v>
      </c>
      <c r="M104" s="11">
        <v>1</v>
      </c>
      <c r="N104" s="11">
        <v>0.79779999999999995</v>
      </c>
      <c r="O104" s="12">
        <v>15028910</v>
      </c>
      <c r="P104" s="12">
        <v>12409190</v>
      </c>
      <c r="Q104" s="13">
        <v>1342.2</v>
      </c>
      <c r="R104" s="13">
        <v>1160.7</v>
      </c>
      <c r="S104" s="8">
        <v>8</v>
      </c>
      <c r="T104" s="8">
        <v>0</v>
      </c>
      <c r="U104" s="12">
        <f t="shared" si="21"/>
        <v>-2619720</v>
      </c>
      <c r="V104" s="11">
        <f t="shared" si="22"/>
        <v>-0.17431204258991503</v>
      </c>
      <c r="W104" s="11">
        <f t="shared" si="23"/>
        <v>-0.20220000000000005</v>
      </c>
      <c r="X104" s="8">
        <f t="shared" si="24"/>
        <v>45</v>
      </c>
      <c r="Y104" s="14">
        <f t="shared" si="25"/>
        <v>0.54504178512966306</v>
      </c>
      <c r="Z104" s="12">
        <f t="shared" si="26"/>
        <v>19615.241136209159</v>
      </c>
      <c r="AA104" s="8" t="str">
        <f t="shared" si="27"/>
        <v>Atenção</v>
      </c>
    </row>
    <row r="105" spans="1:27">
      <c r="A105" s="8" t="s">
        <v>309</v>
      </c>
      <c r="B105" s="8" t="s">
        <v>120</v>
      </c>
      <c r="C105" s="8" t="s">
        <v>287</v>
      </c>
      <c r="D105" s="8" t="s">
        <v>310</v>
      </c>
      <c r="E105" s="8" t="s">
        <v>143</v>
      </c>
      <c r="F105" s="9">
        <v>46205</v>
      </c>
      <c r="G105" s="9">
        <v>46213</v>
      </c>
      <c r="H105" s="9"/>
      <c r="I105" s="8" t="s">
        <v>124</v>
      </c>
      <c r="J105" s="8" t="s">
        <v>228</v>
      </c>
      <c r="K105" s="10">
        <v>203</v>
      </c>
      <c r="L105" s="10">
        <v>163.55000000000001</v>
      </c>
      <c r="M105" s="11">
        <v>1</v>
      </c>
      <c r="N105" s="11">
        <v>0.80559999999999998</v>
      </c>
      <c r="O105" s="12">
        <v>2101374</v>
      </c>
      <c r="P105" s="12">
        <v>1732040</v>
      </c>
      <c r="Q105" s="13">
        <v>305.7</v>
      </c>
      <c r="R105" s="13">
        <v>268.89999999999998</v>
      </c>
      <c r="S105" s="8">
        <v>5</v>
      </c>
      <c r="T105" s="8">
        <v>0</v>
      </c>
      <c r="U105" s="12">
        <f t="shared" si="21"/>
        <v>-369334</v>
      </c>
      <c r="V105" s="11">
        <f t="shared" si="22"/>
        <v>-0.1757583371641602</v>
      </c>
      <c r="W105" s="11">
        <f t="shared" si="23"/>
        <v>-0.19440000000000002</v>
      </c>
      <c r="X105" s="8">
        <f t="shared" si="24"/>
        <v>52</v>
      </c>
      <c r="Y105" s="14">
        <f t="shared" si="25"/>
        <v>0.60821866865005592</v>
      </c>
      <c r="Z105" s="12">
        <f t="shared" si="26"/>
        <v>10590.27820238459</v>
      </c>
      <c r="AA105" s="8" t="str">
        <f t="shared" si="27"/>
        <v>Atenção</v>
      </c>
    </row>
    <row r="106" spans="1:27">
      <c r="A106" s="8" t="s">
        <v>311</v>
      </c>
      <c r="B106" s="8" t="s">
        <v>120</v>
      </c>
      <c r="C106" s="8" t="s">
        <v>287</v>
      </c>
      <c r="D106" s="8" t="s">
        <v>312</v>
      </c>
      <c r="E106" s="8" t="s">
        <v>123</v>
      </c>
      <c r="F106" s="9">
        <v>46207</v>
      </c>
      <c r="G106" s="9">
        <v>46211</v>
      </c>
      <c r="H106" s="9"/>
      <c r="I106" s="8" t="s">
        <v>124</v>
      </c>
      <c r="J106" s="8" t="s">
        <v>228</v>
      </c>
      <c r="K106" s="10">
        <v>509</v>
      </c>
      <c r="L106" s="10">
        <v>473.78</v>
      </c>
      <c r="M106" s="11">
        <v>1</v>
      </c>
      <c r="N106" s="11">
        <v>0.93079999999999996</v>
      </c>
      <c r="O106" s="12">
        <v>17857220</v>
      </c>
      <c r="P106" s="12">
        <v>15566363</v>
      </c>
      <c r="Q106" s="13">
        <v>419.6</v>
      </c>
      <c r="R106" s="13">
        <v>434.5</v>
      </c>
      <c r="S106" s="8">
        <v>8</v>
      </c>
      <c r="T106" s="8">
        <v>0</v>
      </c>
      <c r="U106" s="12">
        <f t="shared" si="21"/>
        <v>-2290857</v>
      </c>
      <c r="V106" s="11">
        <f t="shared" si="22"/>
        <v>-0.12828743779826871</v>
      </c>
      <c r="W106" s="11">
        <f t="shared" si="23"/>
        <v>-6.9200000000000039E-2</v>
      </c>
      <c r="X106" s="8">
        <f t="shared" si="24"/>
        <v>54</v>
      </c>
      <c r="Y106" s="14">
        <f t="shared" si="25"/>
        <v>1.0904027617951668</v>
      </c>
      <c r="Z106" s="12">
        <f t="shared" si="26"/>
        <v>32855.677740723542</v>
      </c>
      <c r="AA106" s="8" t="str">
        <f t="shared" si="27"/>
        <v>Controlado</v>
      </c>
    </row>
    <row r="107" spans="1:27">
      <c r="A107" s="8" t="s">
        <v>313</v>
      </c>
      <c r="B107" s="8" t="s">
        <v>120</v>
      </c>
      <c r="C107" s="8" t="s">
        <v>287</v>
      </c>
      <c r="D107" s="8" t="s">
        <v>314</v>
      </c>
      <c r="E107" s="8" t="s">
        <v>137</v>
      </c>
      <c r="F107" s="9">
        <v>46208</v>
      </c>
      <c r="G107" s="9">
        <v>46217</v>
      </c>
      <c r="H107" s="9"/>
      <c r="I107" s="8" t="s">
        <v>124</v>
      </c>
      <c r="J107" s="8" t="s">
        <v>228</v>
      </c>
      <c r="K107" s="10">
        <v>409</v>
      </c>
      <c r="L107" s="10">
        <v>327.86</v>
      </c>
      <c r="M107" s="11">
        <v>1</v>
      </c>
      <c r="N107" s="11">
        <v>0.80159999999999998</v>
      </c>
      <c r="O107" s="12">
        <v>14428328</v>
      </c>
      <c r="P107" s="12">
        <v>12975157</v>
      </c>
      <c r="Q107" s="13">
        <v>349.3</v>
      </c>
      <c r="R107" s="13">
        <v>338.1</v>
      </c>
      <c r="S107" s="8">
        <v>16</v>
      </c>
      <c r="T107" s="8">
        <v>0</v>
      </c>
      <c r="U107" s="12">
        <f t="shared" si="21"/>
        <v>-1453171</v>
      </c>
      <c r="V107" s="11">
        <f t="shared" si="22"/>
        <v>-0.10071652099952261</v>
      </c>
      <c r="W107" s="11">
        <f t="shared" si="23"/>
        <v>-0.19840000000000002</v>
      </c>
      <c r="X107" s="8">
        <f t="shared" si="24"/>
        <v>48</v>
      </c>
      <c r="Y107" s="14">
        <f t="shared" si="25"/>
        <v>0.96971310263235722</v>
      </c>
      <c r="Z107" s="12">
        <f t="shared" si="26"/>
        <v>39575.297383029341</v>
      </c>
      <c r="AA107" s="8" t="str">
        <f t="shared" si="27"/>
        <v>Atenção</v>
      </c>
    </row>
    <row r="108" spans="1:27">
      <c r="A108" s="8" t="s">
        <v>315</v>
      </c>
      <c r="B108" s="8" t="s">
        <v>120</v>
      </c>
      <c r="C108" s="8" t="s">
        <v>287</v>
      </c>
      <c r="D108" s="8" t="s">
        <v>316</v>
      </c>
      <c r="E108" s="8" t="s">
        <v>143</v>
      </c>
      <c r="F108" s="9">
        <v>46211</v>
      </c>
      <c r="G108" s="9">
        <v>46216</v>
      </c>
      <c r="H108" s="9"/>
      <c r="I108" s="8" t="s">
        <v>124</v>
      </c>
      <c r="J108" s="8" t="s">
        <v>228</v>
      </c>
      <c r="K108" s="10">
        <v>410</v>
      </c>
      <c r="L108" s="10">
        <v>357.5</v>
      </c>
      <c r="M108" s="11">
        <v>1</v>
      </c>
      <c r="N108" s="11">
        <v>0.872</v>
      </c>
      <c r="O108" s="12">
        <v>3876914</v>
      </c>
      <c r="P108" s="12">
        <v>3814618</v>
      </c>
      <c r="Q108" s="13">
        <v>531.4</v>
      </c>
      <c r="R108" s="13">
        <v>498.5</v>
      </c>
      <c r="S108" s="8">
        <v>14</v>
      </c>
      <c r="T108" s="8">
        <v>0</v>
      </c>
      <c r="U108" s="12">
        <f t="shared" si="21"/>
        <v>-62296</v>
      </c>
      <c r="V108" s="11">
        <f t="shared" si="22"/>
        <v>-1.6068450318990825E-2</v>
      </c>
      <c r="W108" s="11">
        <f t="shared" si="23"/>
        <v>-0.128</v>
      </c>
      <c r="X108" s="8">
        <f t="shared" si="24"/>
        <v>49</v>
      </c>
      <c r="Y108" s="14">
        <f t="shared" si="25"/>
        <v>0.71715145436308925</v>
      </c>
      <c r="Z108" s="12">
        <f t="shared" si="26"/>
        <v>10670.26013986014</v>
      </c>
      <c r="AA108" s="8" t="str">
        <f t="shared" si="27"/>
        <v>Atenção</v>
      </c>
    </row>
    <row r="109" spans="1:27">
      <c r="A109" s="8" t="s">
        <v>317</v>
      </c>
      <c r="B109" s="8" t="s">
        <v>120</v>
      </c>
      <c r="C109" s="8" t="s">
        <v>287</v>
      </c>
      <c r="D109" s="8" t="s">
        <v>318</v>
      </c>
      <c r="E109" s="8" t="s">
        <v>143</v>
      </c>
      <c r="F109" s="9">
        <v>46211</v>
      </c>
      <c r="G109" s="9">
        <v>46217</v>
      </c>
      <c r="H109" s="9">
        <v>46217</v>
      </c>
      <c r="I109" s="8" t="s">
        <v>134</v>
      </c>
      <c r="J109" s="8" t="s">
        <v>228</v>
      </c>
      <c r="K109" s="10">
        <v>307</v>
      </c>
      <c r="L109" s="10">
        <v>307</v>
      </c>
      <c r="M109" s="11">
        <v>1</v>
      </c>
      <c r="N109" s="11">
        <v>1</v>
      </c>
      <c r="O109" s="12">
        <v>2442077</v>
      </c>
      <c r="P109" s="12">
        <v>2579173</v>
      </c>
      <c r="Q109" s="13">
        <v>460.3</v>
      </c>
      <c r="R109" s="13">
        <v>525.20000000000005</v>
      </c>
      <c r="S109" s="8">
        <v>4</v>
      </c>
      <c r="T109" s="8">
        <v>0</v>
      </c>
      <c r="U109" s="12">
        <f t="shared" si="21"/>
        <v>137096</v>
      </c>
      <c r="V109" s="11">
        <f t="shared" si="22"/>
        <v>5.6139097989129742E-2</v>
      </c>
      <c r="W109" s="11">
        <f t="shared" si="23"/>
        <v>0</v>
      </c>
      <c r="X109" s="8">
        <f t="shared" si="24"/>
        <v>0</v>
      </c>
      <c r="Y109" s="14">
        <f t="shared" si="25"/>
        <v>0.58453922315308449</v>
      </c>
      <c r="Z109" s="12">
        <f t="shared" si="26"/>
        <v>8401.2149837133547</v>
      </c>
      <c r="AA109" s="8" t="str">
        <f t="shared" si="27"/>
        <v>Controlado</v>
      </c>
    </row>
    <row r="110" spans="1:27">
      <c r="A110" s="8" t="s">
        <v>319</v>
      </c>
      <c r="B110" s="8" t="s">
        <v>120</v>
      </c>
      <c r="C110" s="8" t="s">
        <v>287</v>
      </c>
      <c r="D110" s="8" t="s">
        <v>320</v>
      </c>
      <c r="E110" s="8" t="s">
        <v>128</v>
      </c>
      <c r="F110" s="9">
        <v>46215</v>
      </c>
      <c r="G110" s="9">
        <v>46221</v>
      </c>
      <c r="H110" s="9">
        <v>46223</v>
      </c>
      <c r="I110" s="8" t="s">
        <v>134</v>
      </c>
      <c r="J110" s="8" t="s">
        <v>228</v>
      </c>
      <c r="K110" s="10">
        <v>464</v>
      </c>
      <c r="L110" s="10">
        <v>464</v>
      </c>
      <c r="M110" s="11">
        <v>1</v>
      </c>
      <c r="N110" s="11">
        <v>1</v>
      </c>
      <c r="O110" s="12">
        <v>16012920</v>
      </c>
      <c r="P110" s="12">
        <v>15228261</v>
      </c>
      <c r="Q110" s="13">
        <v>842</v>
      </c>
      <c r="R110" s="13">
        <v>977.1</v>
      </c>
      <c r="S110" s="8">
        <v>14</v>
      </c>
      <c r="T110" s="8">
        <v>0</v>
      </c>
      <c r="U110" s="12">
        <f t="shared" si="21"/>
        <v>-784659</v>
      </c>
      <c r="V110" s="11">
        <f t="shared" si="22"/>
        <v>-4.900161869290548E-2</v>
      </c>
      <c r="W110" s="11">
        <f t="shared" si="23"/>
        <v>0</v>
      </c>
      <c r="X110" s="8">
        <f t="shared" si="24"/>
        <v>2</v>
      </c>
      <c r="Y110" s="14">
        <f t="shared" si="25"/>
        <v>0.47487462900419608</v>
      </c>
      <c r="Z110" s="12">
        <f t="shared" si="26"/>
        <v>32819.528017241377</v>
      </c>
      <c r="AA110" s="8" t="str">
        <f t="shared" si="27"/>
        <v>Controlado</v>
      </c>
    </row>
    <row r="111" spans="1:27">
      <c r="A111" s="8" t="s">
        <v>321</v>
      </c>
      <c r="B111" s="8" t="s">
        <v>120</v>
      </c>
      <c r="C111" s="8" t="s">
        <v>322</v>
      </c>
      <c r="D111" s="8" t="s">
        <v>323</v>
      </c>
      <c r="E111" s="8" t="s">
        <v>131</v>
      </c>
      <c r="F111" s="9">
        <v>46215</v>
      </c>
      <c r="G111" s="9">
        <v>46221</v>
      </c>
      <c r="H111" s="9">
        <v>46227</v>
      </c>
      <c r="I111" s="8" t="s">
        <v>134</v>
      </c>
      <c r="J111" s="8" t="s">
        <v>125</v>
      </c>
      <c r="K111" s="10">
        <v>19</v>
      </c>
      <c r="L111" s="10">
        <v>18.98</v>
      </c>
      <c r="M111" s="11">
        <v>1</v>
      </c>
      <c r="N111" s="11">
        <v>0.99890000000000001</v>
      </c>
      <c r="O111" s="12">
        <v>4350653</v>
      </c>
      <c r="P111" s="12">
        <v>4296421</v>
      </c>
      <c r="Q111" s="13">
        <v>20.3</v>
      </c>
      <c r="R111" s="13">
        <v>19</v>
      </c>
      <c r="S111" s="8">
        <v>8</v>
      </c>
      <c r="T111" s="8">
        <v>0</v>
      </c>
      <c r="U111" s="12">
        <f t="shared" si="21"/>
        <v>-54232</v>
      </c>
      <c r="V111" s="11">
        <f t="shared" si="22"/>
        <v>-1.2465255215711298E-2</v>
      </c>
      <c r="W111" s="11">
        <f t="shared" si="23"/>
        <v>-1.0999999999999899E-3</v>
      </c>
      <c r="X111" s="8">
        <f t="shared" si="24"/>
        <v>6</v>
      </c>
      <c r="Y111" s="14">
        <f t="shared" si="25"/>
        <v>0.99894736842105269</v>
      </c>
      <c r="Z111" s="12">
        <f t="shared" si="26"/>
        <v>226365.70073761855</v>
      </c>
      <c r="AA111" s="8" t="str">
        <f t="shared" si="27"/>
        <v>Controlado</v>
      </c>
    </row>
    <row r="112" spans="1:27">
      <c r="A112" s="8" t="s">
        <v>324</v>
      </c>
      <c r="B112" s="8" t="s">
        <v>120</v>
      </c>
      <c r="C112" s="8" t="s">
        <v>322</v>
      </c>
      <c r="D112" s="8" t="s">
        <v>325</v>
      </c>
      <c r="E112" s="8" t="s">
        <v>123</v>
      </c>
      <c r="F112" s="9">
        <v>46217</v>
      </c>
      <c r="G112" s="9">
        <v>46233</v>
      </c>
      <c r="H112" s="9">
        <v>46230</v>
      </c>
      <c r="I112" s="8" t="s">
        <v>134</v>
      </c>
      <c r="J112" s="8" t="s">
        <v>125</v>
      </c>
      <c r="K112" s="10">
        <v>33</v>
      </c>
      <c r="L112" s="10">
        <v>33</v>
      </c>
      <c r="M112" s="11">
        <v>1</v>
      </c>
      <c r="N112" s="11">
        <v>1</v>
      </c>
      <c r="O112" s="12">
        <v>7799132</v>
      </c>
      <c r="P112" s="12">
        <v>7579233</v>
      </c>
      <c r="Q112" s="13">
        <v>65</v>
      </c>
      <c r="R112" s="13">
        <v>76.3</v>
      </c>
      <c r="S112" s="8">
        <v>5</v>
      </c>
      <c r="T112" s="8">
        <v>0</v>
      </c>
      <c r="U112" s="12">
        <f t="shared" si="21"/>
        <v>-219899</v>
      </c>
      <c r="V112" s="11">
        <f t="shared" si="22"/>
        <v>-2.8195317119905139E-2</v>
      </c>
      <c r="W112" s="11">
        <f t="shared" si="23"/>
        <v>0</v>
      </c>
      <c r="X112" s="8">
        <f t="shared" si="24"/>
        <v>0</v>
      </c>
      <c r="Y112" s="14">
        <f t="shared" si="25"/>
        <v>0.43250327653997378</v>
      </c>
      <c r="Z112" s="12">
        <f t="shared" si="26"/>
        <v>229673.72727272726</v>
      </c>
      <c r="AA112" s="8" t="str">
        <f t="shared" si="27"/>
        <v>Controlado</v>
      </c>
    </row>
    <row r="113" spans="1:27">
      <c r="A113" s="8" t="s">
        <v>326</v>
      </c>
      <c r="B113" s="8" t="s">
        <v>120</v>
      </c>
      <c r="C113" s="8" t="s">
        <v>322</v>
      </c>
      <c r="D113" s="8" t="s">
        <v>327</v>
      </c>
      <c r="E113" s="8" t="s">
        <v>131</v>
      </c>
      <c r="F113" s="9">
        <v>46218</v>
      </c>
      <c r="G113" s="9">
        <v>46230</v>
      </c>
      <c r="H113" s="9"/>
      <c r="I113" s="8" t="s">
        <v>124</v>
      </c>
      <c r="J113" s="8" t="s">
        <v>125</v>
      </c>
      <c r="K113" s="10">
        <v>22</v>
      </c>
      <c r="L113" s="10">
        <v>18.64</v>
      </c>
      <c r="M113" s="11">
        <v>1</v>
      </c>
      <c r="N113" s="11">
        <v>0.84730000000000005</v>
      </c>
      <c r="O113" s="12">
        <v>2216146</v>
      </c>
      <c r="P113" s="12">
        <v>1906446</v>
      </c>
      <c r="Q113" s="13">
        <v>28.4</v>
      </c>
      <c r="R113" s="13">
        <v>29.2</v>
      </c>
      <c r="S113" s="8">
        <v>14</v>
      </c>
      <c r="T113" s="8">
        <v>0</v>
      </c>
      <c r="U113" s="12">
        <f t="shared" si="21"/>
        <v>-309700</v>
      </c>
      <c r="V113" s="11">
        <f t="shared" si="22"/>
        <v>-0.13974711052430661</v>
      </c>
      <c r="W113" s="11">
        <f t="shared" si="23"/>
        <v>-0.15269999999999995</v>
      </c>
      <c r="X113" s="8">
        <f t="shared" si="24"/>
        <v>35</v>
      </c>
      <c r="Y113" s="14">
        <f t="shared" si="25"/>
        <v>0.63835616438356169</v>
      </c>
      <c r="Z113" s="12">
        <f t="shared" si="26"/>
        <v>102277.14592274677</v>
      </c>
      <c r="AA113" s="8" t="str">
        <f t="shared" si="27"/>
        <v>Atenção</v>
      </c>
    </row>
    <row r="114" spans="1:27">
      <c r="A114" s="8" t="s">
        <v>328</v>
      </c>
      <c r="B114" s="8" t="s">
        <v>120</v>
      </c>
      <c r="C114" s="8" t="s">
        <v>322</v>
      </c>
      <c r="D114" s="8" t="s">
        <v>329</v>
      </c>
      <c r="E114" s="8" t="s">
        <v>131</v>
      </c>
      <c r="F114" s="9">
        <v>46221</v>
      </c>
      <c r="G114" s="9">
        <v>46226</v>
      </c>
      <c r="H114" s="9"/>
      <c r="I114" s="8" t="s">
        <v>124</v>
      </c>
      <c r="J114" s="8" t="s">
        <v>125</v>
      </c>
      <c r="K114" s="10">
        <v>10</v>
      </c>
      <c r="L114" s="10">
        <v>9.3000000000000007</v>
      </c>
      <c r="M114" s="11">
        <v>1</v>
      </c>
      <c r="N114" s="11">
        <v>0.92969999999999997</v>
      </c>
      <c r="O114" s="12">
        <v>3607865</v>
      </c>
      <c r="P114" s="12">
        <v>3312118</v>
      </c>
      <c r="Q114" s="13">
        <v>17.8</v>
      </c>
      <c r="R114" s="13">
        <v>19</v>
      </c>
      <c r="S114" s="8">
        <v>13</v>
      </c>
      <c r="T114" s="8">
        <v>0</v>
      </c>
      <c r="U114" s="12">
        <f t="shared" si="21"/>
        <v>-295747</v>
      </c>
      <c r="V114" s="11">
        <f t="shared" si="22"/>
        <v>-8.1972856523179219E-2</v>
      </c>
      <c r="W114" s="11">
        <f t="shared" si="23"/>
        <v>-7.0300000000000029E-2</v>
      </c>
      <c r="X114" s="8">
        <f t="shared" si="24"/>
        <v>39</v>
      </c>
      <c r="Y114" s="14">
        <f t="shared" si="25"/>
        <v>0.48947368421052634</v>
      </c>
      <c r="Z114" s="12">
        <f t="shared" si="26"/>
        <v>356141.7204301075</v>
      </c>
      <c r="AA114" s="8" t="str">
        <f t="shared" si="27"/>
        <v>Controlado</v>
      </c>
    </row>
    <row r="115" spans="1:27">
      <c r="A115" s="8" t="s">
        <v>330</v>
      </c>
      <c r="B115" s="8" t="s">
        <v>120</v>
      </c>
      <c r="C115" s="8" t="s">
        <v>322</v>
      </c>
      <c r="D115" s="8" t="s">
        <v>331</v>
      </c>
      <c r="E115" s="8" t="s">
        <v>137</v>
      </c>
      <c r="F115" s="9">
        <v>46219</v>
      </c>
      <c r="G115" s="9">
        <v>46228</v>
      </c>
      <c r="H115" s="9"/>
      <c r="I115" s="8" t="s">
        <v>124</v>
      </c>
      <c r="J115" s="8" t="s">
        <v>125</v>
      </c>
      <c r="K115" s="10">
        <v>36</v>
      </c>
      <c r="L115" s="10">
        <v>32.69</v>
      </c>
      <c r="M115" s="11">
        <v>1</v>
      </c>
      <c r="N115" s="11">
        <v>0.90800000000000003</v>
      </c>
      <c r="O115" s="12">
        <v>12221501</v>
      </c>
      <c r="P115" s="12">
        <v>10853038</v>
      </c>
      <c r="Q115" s="13">
        <v>95</v>
      </c>
      <c r="R115" s="13">
        <v>85.6</v>
      </c>
      <c r="S115" s="8">
        <v>7</v>
      </c>
      <c r="T115" s="8">
        <v>0</v>
      </c>
      <c r="U115" s="12">
        <f t="shared" si="21"/>
        <v>-1368463</v>
      </c>
      <c r="V115" s="11">
        <f t="shared" si="22"/>
        <v>-0.1119717618973316</v>
      </c>
      <c r="W115" s="11">
        <f t="shared" si="23"/>
        <v>-9.1999999999999971E-2</v>
      </c>
      <c r="X115" s="8">
        <f t="shared" si="24"/>
        <v>37</v>
      </c>
      <c r="Y115" s="14">
        <f t="shared" si="25"/>
        <v>0.38189252336448598</v>
      </c>
      <c r="Z115" s="12">
        <f t="shared" si="26"/>
        <v>331998.71520342614</v>
      </c>
      <c r="AA115" s="8" t="str">
        <f t="shared" si="27"/>
        <v>Controlado</v>
      </c>
    </row>
    <row r="116" spans="1:27">
      <c r="A116" s="8" t="s">
        <v>332</v>
      </c>
      <c r="B116" s="8" t="s">
        <v>120</v>
      </c>
      <c r="C116" s="8" t="s">
        <v>322</v>
      </c>
      <c r="D116" s="8" t="s">
        <v>333</v>
      </c>
      <c r="E116" s="8" t="s">
        <v>143</v>
      </c>
      <c r="F116" s="9">
        <v>46221</v>
      </c>
      <c r="G116" s="9">
        <v>46233</v>
      </c>
      <c r="H116" s="9"/>
      <c r="I116" s="8" t="s">
        <v>124</v>
      </c>
      <c r="J116" s="8" t="s">
        <v>125</v>
      </c>
      <c r="K116" s="10">
        <v>20</v>
      </c>
      <c r="L116" s="10">
        <v>16.18</v>
      </c>
      <c r="M116" s="11">
        <v>1</v>
      </c>
      <c r="N116" s="11">
        <v>0.80889999999999995</v>
      </c>
      <c r="O116" s="12">
        <v>6351954</v>
      </c>
      <c r="P116" s="12">
        <v>5434003</v>
      </c>
      <c r="Q116" s="13">
        <v>16.600000000000001</v>
      </c>
      <c r="R116" s="13">
        <v>14</v>
      </c>
      <c r="S116" s="8">
        <v>13</v>
      </c>
      <c r="T116" s="8">
        <v>0</v>
      </c>
      <c r="U116" s="12">
        <f t="shared" si="21"/>
        <v>-917951</v>
      </c>
      <c r="V116" s="11">
        <f t="shared" si="22"/>
        <v>-0.14451474302238335</v>
      </c>
      <c r="W116" s="11">
        <f t="shared" si="23"/>
        <v>-0.19110000000000005</v>
      </c>
      <c r="X116" s="8">
        <f t="shared" si="24"/>
        <v>32</v>
      </c>
      <c r="Y116" s="14">
        <f t="shared" si="25"/>
        <v>1.1557142857142857</v>
      </c>
      <c r="Z116" s="12">
        <f t="shared" si="26"/>
        <v>335846.90976514213</v>
      </c>
      <c r="AA116" s="8" t="str">
        <f t="shared" si="27"/>
        <v>Atenção</v>
      </c>
    </row>
    <row r="117" spans="1:27">
      <c r="A117" s="8" t="s">
        <v>334</v>
      </c>
      <c r="B117" s="8" t="s">
        <v>120</v>
      </c>
      <c r="C117" s="8" t="s">
        <v>322</v>
      </c>
      <c r="D117" s="8" t="s">
        <v>335</v>
      </c>
      <c r="E117" s="8" t="s">
        <v>137</v>
      </c>
      <c r="F117" s="9">
        <v>46224</v>
      </c>
      <c r="G117" s="9">
        <v>46233</v>
      </c>
      <c r="H117" s="9"/>
      <c r="I117" s="8" t="s">
        <v>124</v>
      </c>
      <c r="J117" s="8" t="s">
        <v>125</v>
      </c>
      <c r="K117" s="10">
        <v>36</v>
      </c>
      <c r="L117" s="10">
        <v>32.619999999999997</v>
      </c>
      <c r="M117" s="11">
        <v>1</v>
      </c>
      <c r="N117" s="11">
        <v>0.90610000000000002</v>
      </c>
      <c r="O117" s="12">
        <v>13055603</v>
      </c>
      <c r="P117" s="12">
        <v>13209066</v>
      </c>
      <c r="Q117" s="13">
        <v>58.2</v>
      </c>
      <c r="R117" s="13">
        <v>50.8</v>
      </c>
      <c r="S117" s="8">
        <v>13</v>
      </c>
      <c r="T117" s="8">
        <v>0</v>
      </c>
      <c r="U117" s="12">
        <f t="shared" si="21"/>
        <v>153463</v>
      </c>
      <c r="V117" s="11">
        <f t="shared" si="22"/>
        <v>1.1754570049349693E-2</v>
      </c>
      <c r="W117" s="11">
        <f t="shared" si="23"/>
        <v>-9.3899999999999983E-2</v>
      </c>
      <c r="X117" s="8">
        <f t="shared" si="24"/>
        <v>32</v>
      </c>
      <c r="Y117" s="14">
        <f t="shared" si="25"/>
        <v>0.64212598425196854</v>
      </c>
      <c r="Z117" s="12">
        <f t="shared" si="26"/>
        <v>404937.64561618643</v>
      </c>
      <c r="AA117" s="8" t="str">
        <f t="shared" si="27"/>
        <v>Controlado</v>
      </c>
    </row>
    <row r="118" spans="1:27">
      <c r="A118" s="8" t="s">
        <v>336</v>
      </c>
      <c r="B118" s="8" t="s">
        <v>120</v>
      </c>
      <c r="C118" s="8" t="s">
        <v>322</v>
      </c>
      <c r="D118" s="8" t="s">
        <v>337</v>
      </c>
      <c r="E118" s="8" t="s">
        <v>143</v>
      </c>
      <c r="F118" s="9">
        <v>46223</v>
      </c>
      <c r="G118" s="9">
        <v>46231</v>
      </c>
      <c r="H118" s="9"/>
      <c r="I118" s="8" t="s">
        <v>124</v>
      </c>
      <c r="J118" s="8" t="s">
        <v>125</v>
      </c>
      <c r="K118" s="10">
        <v>21</v>
      </c>
      <c r="L118" s="10">
        <v>17.940000000000001</v>
      </c>
      <c r="M118" s="11">
        <v>1</v>
      </c>
      <c r="N118" s="11">
        <v>0.85409999999999997</v>
      </c>
      <c r="O118" s="12">
        <v>1110639</v>
      </c>
      <c r="P118" s="12">
        <v>1032304</v>
      </c>
      <c r="Q118" s="13">
        <v>50</v>
      </c>
      <c r="R118" s="13">
        <v>45.4</v>
      </c>
      <c r="S118" s="8">
        <v>9</v>
      </c>
      <c r="T118" s="8">
        <v>0</v>
      </c>
      <c r="U118" s="12">
        <f t="shared" si="21"/>
        <v>-78335</v>
      </c>
      <c r="V118" s="11">
        <f t="shared" si="22"/>
        <v>-7.0531468821102089E-2</v>
      </c>
      <c r="W118" s="11">
        <f t="shared" si="23"/>
        <v>-0.14590000000000003</v>
      </c>
      <c r="X118" s="8">
        <f t="shared" si="24"/>
        <v>34</v>
      </c>
      <c r="Y118" s="14">
        <f t="shared" si="25"/>
        <v>0.39515418502202648</v>
      </c>
      <c r="Z118" s="12">
        <f t="shared" si="26"/>
        <v>57542.028985507241</v>
      </c>
      <c r="AA118" s="8" t="str">
        <f t="shared" si="27"/>
        <v>Atenção</v>
      </c>
    </row>
    <row r="119" spans="1:27">
      <c r="A119" s="8" t="s">
        <v>338</v>
      </c>
      <c r="B119" s="8" t="s">
        <v>120</v>
      </c>
      <c r="C119" s="8" t="s">
        <v>339</v>
      </c>
      <c r="D119" s="8" t="s">
        <v>340</v>
      </c>
      <c r="E119" s="8" t="s">
        <v>123</v>
      </c>
      <c r="F119" s="9">
        <v>46225</v>
      </c>
      <c r="G119" s="9">
        <v>46230</v>
      </c>
      <c r="H119" s="9"/>
      <c r="I119" s="8" t="s">
        <v>124</v>
      </c>
      <c r="J119" s="8" t="s">
        <v>228</v>
      </c>
      <c r="K119" s="10">
        <v>323</v>
      </c>
      <c r="L119" s="10">
        <v>301.64</v>
      </c>
      <c r="M119" s="11">
        <v>1</v>
      </c>
      <c r="N119" s="11">
        <v>0.93389999999999995</v>
      </c>
      <c r="O119" s="12">
        <v>6731300</v>
      </c>
      <c r="P119" s="12">
        <v>6020195</v>
      </c>
      <c r="Q119" s="13">
        <v>360</v>
      </c>
      <c r="R119" s="13">
        <v>347.5</v>
      </c>
      <c r="S119" s="8">
        <v>18</v>
      </c>
      <c r="T119" s="8">
        <v>0</v>
      </c>
      <c r="U119" s="12">
        <f t="shared" si="21"/>
        <v>-711105</v>
      </c>
      <c r="V119" s="11">
        <f t="shared" si="22"/>
        <v>-0.10564155512308172</v>
      </c>
      <c r="W119" s="11">
        <f t="shared" si="23"/>
        <v>-6.6100000000000048E-2</v>
      </c>
      <c r="X119" s="8">
        <f t="shared" si="24"/>
        <v>35</v>
      </c>
      <c r="Y119" s="14">
        <f t="shared" si="25"/>
        <v>0.86802877697841718</v>
      </c>
      <c r="Z119" s="12">
        <f t="shared" si="26"/>
        <v>19958.211775626576</v>
      </c>
      <c r="AA119" s="8" t="str">
        <f t="shared" si="27"/>
        <v>Controlado</v>
      </c>
    </row>
    <row r="120" spans="1:27">
      <c r="A120" s="8" t="s">
        <v>341</v>
      </c>
      <c r="B120" s="8" t="s">
        <v>120</v>
      </c>
      <c r="C120" s="8" t="s">
        <v>339</v>
      </c>
      <c r="D120" s="8" t="s">
        <v>342</v>
      </c>
      <c r="E120" s="8" t="s">
        <v>143</v>
      </c>
      <c r="F120" s="9">
        <v>46225</v>
      </c>
      <c r="G120" s="9">
        <v>46235</v>
      </c>
      <c r="H120" s="9"/>
      <c r="I120" s="8" t="s">
        <v>124</v>
      </c>
      <c r="J120" s="8" t="s">
        <v>228</v>
      </c>
      <c r="K120" s="10">
        <v>193</v>
      </c>
      <c r="L120" s="10">
        <v>187.72</v>
      </c>
      <c r="M120" s="11">
        <v>1</v>
      </c>
      <c r="N120" s="11">
        <v>0.97260000000000002</v>
      </c>
      <c r="O120" s="12">
        <v>5955079</v>
      </c>
      <c r="P120" s="12">
        <v>6217525</v>
      </c>
      <c r="Q120" s="13">
        <v>428</v>
      </c>
      <c r="R120" s="13">
        <v>460.2</v>
      </c>
      <c r="S120" s="8">
        <v>12</v>
      </c>
      <c r="T120" s="8">
        <v>0</v>
      </c>
      <c r="U120" s="12">
        <f t="shared" si="21"/>
        <v>262446</v>
      </c>
      <c r="V120" s="11">
        <f t="shared" si="22"/>
        <v>4.4070951871503297E-2</v>
      </c>
      <c r="W120" s="11">
        <f t="shared" si="23"/>
        <v>-2.739999999999998E-2</v>
      </c>
      <c r="X120" s="8">
        <f t="shared" si="24"/>
        <v>30</v>
      </c>
      <c r="Y120" s="14">
        <f t="shared" si="25"/>
        <v>0.40790960451977404</v>
      </c>
      <c r="Z120" s="12">
        <f t="shared" si="26"/>
        <v>33121.271041977416</v>
      </c>
      <c r="AA120" s="8" t="str">
        <f t="shared" si="27"/>
        <v>Controlado</v>
      </c>
    </row>
    <row r="121" spans="1:27">
      <c r="A121" s="8" t="s">
        <v>343</v>
      </c>
      <c r="B121" s="8" t="s">
        <v>120</v>
      </c>
      <c r="C121" s="8" t="s">
        <v>339</v>
      </c>
      <c r="D121" s="8" t="s">
        <v>344</v>
      </c>
      <c r="E121" s="8" t="s">
        <v>123</v>
      </c>
      <c r="F121" s="9">
        <v>46225</v>
      </c>
      <c r="G121" s="9">
        <v>46236</v>
      </c>
      <c r="H121" s="9"/>
      <c r="I121" s="8" t="s">
        <v>124</v>
      </c>
      <c r="J121" s="8" t="s">
        <v>228</v>
      </c>
      <c r="K121" s="10">
        <v>848</v>
      </c>
      <c r="L121" s="10">
        <v>770.97</v>
      </c>
      <c r="M121" s="11">
        <v>1</v>
      </c>
      <c r="N121" s="11">
        <v>0.90920000000000001</v>
      </c>
      <c r="O121" s="12">
        <v>18212600</v>
      </c>
      <c r="P121" s="12">
        <v>17593939</v>
      </c>
      <c r="Q121" s="13">
        <v>1151.3</v>
      </c>
      <c r="R121" s="13">
        <v>1091.3</v>
      </c>
      <c r="S121" s="8">
        <v>17</v>
      </c>
      <c r="T121" s="8">
        <v>0</v>
      </c>
      <c r="U121" s="12">
        <f t="shared" si="21"/>
        <v>-618661</v>
      </c>
      <c r="V121" s="11">
        <f t="shared" si="22"/>
        <v>-3.3968845744155145E-2</v>
      </c>
      <c r="W121" s="11">
        <f t="shared" si="23"/>
        <v>-9.0799999999999992E-2</v>
      </c>
      <c r="X121" s="8">
        <f t="shared" si="24"/>
        <v>29</v>
      </c>
      <c r="Y121" s="14">
        <f t="shared" si="25"/>
        <v>0.7064693484834601</v>
      </c>
      <c r="Z121" s="12">
        <f t="shared" si="26"/>
        <v>22820.523496374695</v>
      </c>
      <c r="AA121" s="8" t="str">
        <f t="shared" si="27"/>
        <v>Controlado</v>
      </c>
    </row>
    <row r="122" spans="1:27">
      <c r="A122" s="8" t="s">
        <v>345</v>
      </c>
      <c r="B122" s="8" t="s">
        <v>120</v>
      </c>
      <c r="C122" s="8" t="s">
        <v>339</v>
      </c>
      <c r="D122" s="8" t="s">
        <v>346</v>
      </c>
      <c r="E122" s="8" t="s">
        <v>131</v>
      </c>
      <c r="F122" s="9">
        <v>46231</v>
      </c>
      <c r="G122" s="9">
        <v>46238</v>
      </c>
      <c r="H122" s="9"/>
      <c r="I122" s="8" t="s">
        <v>124</v>
      </c>
      <c r="J122" s="8" t="s">
        <v>125</v>
      </c>
      <c r="K122" s="10">
        <v>14</v>
      </c>
      <c r="L122" s="10">
        <v>13.62</v>
      </c>
      <c r="M122" s="11">
        <v>1</v>
      </c>
      <c r="N122" s="11">
        <v>0.9728</v>
      </c>
      <c r="O122" s="12">
        <v>5266109</v>
      </c>
      <c r="P122" s="12">
        <v>4902522</v>
      </c>
      <c r="Q122" s="13">
        <v>28</v>
      </c>
      <c r="R122" s="13">
        <v>31.7</v>
      </c>
      <c r="S122" s="8">
        <v>12</v>
      </c>
      <c r="T122" s="8">
        <v>0</v>
      </c>
      <c r="U122" s="12">
        <f t="shared" si="21"/>
        <v>-363587</v>
      </c>
      <c r="V122" s="11">
        <f t="shared" si="22"/>
        <v>-6.904281700207876E-2</v>
      </c>
      <c r="W122" s="11">
        <f t="shared" si="23"/>
        <v>-2.7200000000000002E-2</v>
      </c>
      <c r="X122" s="8">
        <f t="shared" si="24"/>
        <v>27</v>
      </c>
      <c r="Y122" s="14">
        <f t="shared" si="25"/>
        <v>0.42965299684542585</v>
      </c>
      <c r="Z122" s="12">
        <f t="shared" si="26"/>
        <v>359950.22026431718</v>
      </c>
      <c r="AA122" s="8" t="str">
        <f t="shared" si="27"/>
        <v>Controlado</v>
      </c>
    </row>
    <row r="123" spans="1:27">
      <c r="A123" s="8" t="s">
        <v>347</v>
      </c>
      <c r="B123" s="8" t="s">
        <v>120</v>
      </c>
      <c r="C123" s="8" t="s">
        <v>339</v>
      </c>
      <c r="D123" s="8" t="s">
        <v>340</v>
      </c>
      <c r="E123" s="8" t="s">
        <v>143</v>
      </c>
      <c r="F123" s="9">
        <v>46229</v>
      </c>
      <c r="G123" s="9">
        <v>46245</v>
      </c>
      <c r="H123" s="9"/>
      <c r="I123" s="8" t="s">
        <v>124</v>
      </c>
      <c r="J123" s="8" t="s">
        <v>228</v>
      </c>
      <c r="K123" s="10">
        <v>577</v>
      </c>
      <c r="L123" s="10">
        <v>523.47</v>
      </c>
      <c r="M123" s="11">
        <v>1</v>
      </c>
      <c r="N123" s="11">
        <v>0.90720000000000001</v>
      </c>
      <c r="O123" s="12">
        <v>15356781</v>
      </c>
      <c r="P123" s="12">
        <v>12974496</v>
      </c>
      <c r="Q123" s="13">
        <v>464</v>
      </c>
      <c r="R123" s="13">
        <v>392.4</v>
      </c>
      <c r="S123" s="8">
        <v>16</v>
      </c>
      <c r="T123" s="8">
        <v>0</v>
      </c>
      <c r="U123" s="12">
        <f t="shared" si="21"/>
        <v>-2382285</v>
      </c>
      <c r="V123" s="11">
        <f t="shared" si="22"/>
        <v>-0.15512919016035978</v>
      </c>
      <c r="W123" s="11">
        <f t="shared" si="23"/>
        <v>-9.2799999999999994E-2</v>
      </c>
      <c r="X123" s="8">
        <f t="shared" si="24"/>
        <v>20</v>
      </c>
      <c r="Y123" s="14">
        <f t="shared" si="25"/>
        <v>1.3340214067278289</v>
      </c>
      <c r="Z123" s="12">
        <f t="shared" si="26"/>
        <v>24785.557911628173</v>
      </c>
      <c r="AA123" s="8" t="str">
        <f t="shared" si="27"/>
        <v>Controlado</v>
      </c>
    </row>
    <row r="124" spans="1:27">
      <c r="A124" s="8" t="s">
        <v>348</v>
      </c>
      <c r="B124" s="8" t="s">
        <v>120</v>
      </c>
      <c r="C124" s="8" t="s">
        <v>339</v>
      </c>
      <c r="D124" s="8" t="s">
        <v>342</v>
      </c>
      <c r="E124" s="8" t="s">
        <v>123</v>
      </c>
      <c r="F124" s="9">
        <v>46229</v>
      </c>
      <c r="G124" s="9">
        <v>46241</v>
      </c>
      <c r="H124" s="9"/>
      <c r="I124" s="8" t="s">
        <v>124</v>
      </c>
      <c r="J124" s="8" t="s">
        <v>228</v>
      </c>
      <c r="K124" s="10">
        <v>711</v>
      </c>
      <c r="L124" s="10">
        <v>676.88</v>
      </c>
      <c r="M124" s="11">
        <v>1</v>
      </c>
      <c r="N124" s="11">
        <v>0.95199999999999996</v>
      </c>
      <c r="O124" s="12">
        <v>25745812</v>
      </c>
      <c r="P124" s="12">
        <v>22641361</v>
      </c>
      <c r="Q124" s="13">
        <v>742.2</v>
      </c>
      <c r="R124" s="13">
        <v>857.3</v>
      </c>
      <c r="S124" s="8">
        <v>14</v>
      </c>
      <c r="T124" s="8">
        <v>0</v>
      </c>
      <c r="U124" s="12">
        <f t="shared" si="21"/>
        <v>-3104451</v>
      </c>
      <c r="V124" s="11">
        <f t="shared" si="22"/>
        <v>-0.12058081524094093</v>
      </c>
      <c r="W124" s="11">
        <f t="shared" si="23"/>
        <v>-4.8000000000000043E-2</v>
      </c>
      <c r="X124" s="8">
        <f t="shared" si="24"/>
        <v>24</v>
      </c>
      <c r="Y124" s="14">
        <f t="shared" si="25"/>
        <v>0.78954858275982742</v>
      </c>
      <c r="Z124" s="12">
        <f t="shared" si="26"/>
        <v>33449.593724146085</v>
      </c>
      <c r="AA124" s="8" t="str">
        <f t="shared" si="27"/>
        <v>Controlado</v>
      </c>
    </row>
    <row r="125" spans="1:27">
      <c r="A125" s="8" t="s">
        <v>349</v>
      </c>
      <c r="B125" s="8" t="s">
        <v>120</v>
      </c>
      <c r="C125" s="8" t="s">
        <v>339</v>
      </c>
      <c r="D125" s="8" t="s">
        <v>344</v>
      </c>
      <c r="E125" s="8" t="s">
        <v>143</v>
      </c>
      <c r="F125" s="9">
        <v>46234</v>
      </c>
      <c r="G125" s="9">
        <v>46249</v>
      </c>
      <c r="H125" s="9"/>
      <c r="I125" s="8" t="s">
        <v>124</v>
      </c>
      <c r="J125" s="8" t="s">
        <v>228</v>
      </c>
      <c r="K125" s="10">
        <v>720</v>
      </c>
      <c r="L125" s="10">
        <v>607.62</v>
      </c>
      <c r="M125" s="11">
        <v>1</v>
      </c>
      <c r="N125" s="11">
        <v>0.84389999999999998</v>
      </c>
      <c r="O125" s="12">
        <v>20841474</v>
      </c>
      <c r="P125" s="12">
        <v>16924438</v>
      </c>
      <c r="Q125" s="13">
        <v>1237.3</v>
      </c>
      <c r="R125" s="13">
        <v>1042.0999999999999</v>
      </c>
      <c r="S125" s="8">
        <v>11</v>
      </c>
      <c r="T125" s="8">
        <v>0</v>
      </c>
      <c r="U125" s="12">
        <f t="shared" si="21"/>
        <v>-3917036</v>
      </c>
      <c r="V125" s="11">
        <f t="shared" si="22"/>
        <v>-0.1879442883934217</v>
      </c>
      <c r="W125" s="11">
        <f t="shared" si="23"/>
        <v>-0.15610000000000002</v>
      </c>
      <c r="X125" s="8">
        <f t="shared" si="24"/>
        <v>16</v>
      </c>
      <c r="Y125" s="14">
        <f t="shared" si="25"/>
        <v>0.58307264178101914</v>
      </c>
      <c r="Z125" s="12">
        <f t="shared" si="26"/>
        <v>27853.655245054473</v>
      </c>
      <c r="AA125" s="8" t="str">
        <f t="shared" si="27"/>
        <v>Atenção</v>
      </c>
    </row>
    <row r="126" spans="1:27">
      <c r="A126" s="8" t="s">
        <v>350</v>
      </c>
      <c r="B126" s="8" t="s">
        <v>120</v>
      </c>
      <c r="C126" s="8" t="s">
        <v>339</v>
      </c>
      <c r="D126" s="8" t="s">
        <v>346</v>
      </c>
      <c r="E126" s="8" t="s">
        <v>131</v>
      </c>
      <c r="F126" s="9">
        <v>46231</v>
      </c>
      <c r="G126" s="9">
        <v>46238</v>
      </c>
      <c r="H126" s="9"/>
      <c r="I126" s="8" t="s">
        <v>124</v>
      </c>
      <c r="J126" s="8" t="s">
        <v>125</v>
      </c>
      <c r="K126" s="10">
        <v>30</v>
      </c>
      <c r="L126" s="10">
        <v>26.14</v>
      </c>
      <c r="M126" s="11">
        <v>1</v>
      </c>
      <c r="N126" s="11">
        <v>0.87139999999999995</v>
      </c>
      <c r="O126" s="12">
        <v>4300714</v>
      </c>
      <c r="P126" s="12">
        <v>4015422</v>
      </c>
      <c r="Q126" s="13">
        <v>72.5</v>
      </c>
      <c r="R126" s="13">
        <v>65.400000000000006</v>
      </c>
      <c r="S126" s="8">
        <v>5</v>
      </c>
      <c r="T126" s="8">
        <v>0</v>
      </c>
      <c r="U126" s="12">
        <f t="shared" si="21"/>
        <v>-285292</v>
      </c>
      <c r="V126" s="11">
        <f t="shared" si="22"/>
        <v>-6.6335961889118875E-2</v>
      </c>
      <c r="W126" s="11">
        <f t="shared" si="23"/>
        <v>-0.12860000000000005</v>
      </c>
      <c r="X126" s="8">
        <f t="shared" si="24"/>
        <v>27</v>
      </c>
      <c r="Y126" s="14">
        <f t="shared" si="25"/>
        <v>0.39969418960244646</v>
      </c>
      <c r="Z126" s="12">
        <f t="shared" si="26"/>
        <v>153612.16526396328</v>
      </c>
      <c r="AA126" s="8" t="str">
        <f t="shared" si="27"/>
        <v>Atenção</v>
      </c>
    </row>
    <row r="127" spans="1:27">
      <c r="A127" s="8" t="s">
        <v>351</v>
      </c>
      <c r="B127" s="8" t="s">
        <v>120</v>
      </c>
      <c r="C127" s="8" t="s">
        <v>339</v>
      </c>
      <c r="D127" s="8" t="s">
        <v>340</v>
      </c>
      <c r="E127" s="8" t="s">
        <v>137</v>
      </c>
      <c r="F127" s="9">
        <v>46237</v>
      </c>
      <c r="G127" s="9">
        <v>46252</v>
      </c>
      <c r="H127" s="9">
        <v>46258</v>
      </c>
      <c r="I127" s="8" t="s">
        <v>134</v>
      </c>
      <c r="J127" s="8" t="s">
        <v>228</v>
      </c>
      <c r="K127" s="10">
        <v>598</v>
      </c>
      <c r="L127" s="10">
        <v>598</v>
      </c>
      <c r="M127" s="11">
        <v>1</v>
      </c>
      <c r="N127" s="11">
        <v>1</v>
      </c>
      <c r="O127" s="12">
        <v>4554450</v>
      </c>
      <c r="P127" s="12">
        <v>4637825</v>
      </c>
      <c r="Q127" s="13">
        <v>938.7</v>
      </c>
      <c r="R127" s="13">
        <v>869.9</v>
      </c>
      <c r="S127" s="8">
        <v>10</v>
      </c>
      <c r="T127" s="8">
        <v>0</v>
      </c>
      <c r="U127" s="12">
        <f t="shared" si="21"/>
        <v>83375</v>
      </c>
      <c r="V127" s="11">
        <f t="shared" si="22"/>
        <v>1.8306271887933778E-2</v>
      </c>
      <c r="W127" s="11">
        <f t="shared" si="23"/>
        <v>0</v>
      </c>
      <c r="X127" s="8">
        <f t="shared" si="24"/>
        <v>6</v>
      </c>
      <c r="Y127" s="14">
        <f t="shared" si="25"/>
        <v>0.68743533739510287</v>
      </c>
      <c r="Z127" s="12">
        <f t="shared" si="26"/>
        <v>7755.560200668896</v>
      </c>
      <c r="AA127" s="8" t="str">
        <f t="shared" si="27"/>
        <v>Controlado</v>
      </c>
    </row>
    <row r="128" spans="1:27">
      <c r="A128" s="8" t="s">
        <v>352</v>
      </c>
      <c r="B128" s="8" t="s">
        <v>120</v>
      </c>
      <c r="C128" s="8" t="s">
        <v>353</v>
      </c>
      <c r="D128" s="8" t="s">
        <v>354</v>
      </c>
      <c r="E128" s="8" t="s">
        <v>123</v>
      </c>
      <c r="F128" s="9">
        <v>46235</v>
      </c>
      <c r="G128" s="9">
        <v>46247</v>
      </c>
      <c r="H128" s="9"/>
      <c r="I128" s="8" t="s">
        <v>124</v>
      </c>
      <c r="J128" s="8" t="s">
        <v>228</v>
      </c>
      <c r="K128" s="10">
        <v>661</v>
      </c>
      <c r="L128" s="10">
        <v>602.02</v>
      </c>
      <c r="M128" s="11">
        <v>1</v>
      </c>
      <c r="N128" s="11">
        <v>0.91080000000000005</v>
      </c>
      <c r="O128" s="12">
        <v>10936733</v>
      </c>
      <c r="P128" s="12">
        <v>9454981</v>
      </c>
      <c r="Q128" s="13">
        <v>869.4</v>
      </c>
      <c r="R128" s="13">
        <v>854.5</v>
      </c>
      <c r="S128" s="8">
        <v>16</v>
      </c>
      <c r="T128" s="8">
        <v>0</v>
      </c>
      <c r="U128" s="12">
        <f t="shared" si="21"/>
        <v>-1481752</v>
      </c>
      <c r="V128" s="11">
        <f t="shared" si="22"/>
        <v>-0.13548396948156274</v>
      </c>
      <c r="W128" s="11">
        <f t="shared" si="23"/>
        <v>-8.9199999999999946E-2</v>
      </c>
      <c r="X128" s="8">
        <f t="shared" si="24"/>
        <v>18</v>
      </c>
      <c r="Y128" s="14">
        <f t="shared" si="25"/>
        <v>0.70452896430661205</v>
      </c>
      <c r="Z128" s="12">
        <f t="shared" si="26"/>
        <v>15705.42673000897</v>
      </c>
      <c r="AA128" s="8" t="str">
        <f t="shared" si="27"/>
        <v>Controlado</v>
      </c>
    </row>
    <row r="129" spans="1:27">
      <c r="A129" s="8" t="s">
        <v>355</v>
      </c>
      <c r="B129" s="8" t="s">
        <v>120</v>
      </c>
      <c r="C129" s="8" t="s">
        <v>353</v>
      </c>
      <c r="D129" s="8" t="s">
        <v>356</v>
      </c>
      <c r="E129" s="8" t="s">
        <v>128</v>
      </c>
      <c r="F129" s="9">
        <v>46237</v>
      </c>
      <c r="G129" s="9">
        <v>46242</v>
      </c>
      <c r="H129" s="9">
        <v>46246</v>
      </c>
      <c r="I129" s="8" t="s">
        <v>134</v>
      </c>
      <c r="J129" s="8" t="s">
        <v>255</v>
      </c>
      <c r="K129" s="10">
        <v>657</v>
      </c>
      <c r="L129" s="10">
        <v>656.75</v>
      </c>
      <c r="M129" s="11">
        <v>1</v>
      </c>
      <c r="N129" s="11">
        <v>0.99960000000000004</v>
      </c>
      <c r="O129" s="12">
        <v>9004317</v>
      </c>
      <c r="P129" s="12">
        <v>8554317</v>
      </c>
      <c r="Q129" s="13">
        <v>1229.8</v>
      </c>
      <c r="R129" s="13">
        <v>1321.8</v>
      </c>
      <c r="S129" s="8">
        <v>4</v>
      </c>
      <c r="T129" s="8">
        <v>0</v>
      </c>
      <c r="U129" s="12">
        <f t="shared" si="21"/>
        <v>-450000</v>
      </c>
      <c r="V129" s="11">
        <f t="shared" si="22"/>
        <v>-4.9976028165156783E-2</v>
      </c>
      <c r="W129" s="11">
        <f t="shared" si="23"/>
        <v>-3.9999999999995595E-4</v>
      </c>
      <c r="X129" s="8">
        <f t="shared" si="24"/>
        <v>4</v>
      </c>
      <c r="Y129" s="14">
        <f t="shared" si="25"/>
        <v>0.49686034195793616</v>
      </c>
      <c r="Z129" s="12">
        <f t="shared" si="26"/>
        <v>13025.225732775029</v>
      </c>
      <c r="AA129" s="8" t="str">
        <f t="shared" si="27"/>
        <v>Controlado</v>
      </c>
    </row>
    <row r="130" spans="1:27">
      <c r="A130" s="8" t="s">
        <v>357</v>
      </c>
      <c r="B130" s="8" t="s">
        <v>120</v>
      </c>
      <c r="C130" s="8" t="s">
        <v>353</v>
      </c>
      <c r="D130" s="8" t="s">
        <v>358</v>
      </c>
      <c r="E130" s="8" t="s">
        <v>123</v>
      </c>
      <c r="F130" s="9">
        <v>46240</v>
      </c>
      <c r="G130" s="9">
        <v>46248</v>
      </c>
      <c r="H130" s="9"/>
      <c r="I130" s="8" t="s">
        <v>124</v>
      </c>
      <c r="J130" s="8" t="s">
        <v>228</v>
      </c>
      <c r="K130" s="10">
        <v>510</v>
      </c>
      <c r="L130" s="10">
        <v>425.41</v>
      </c>
      <c r="M130" s="11">
        <v>1</v>
      </c>
      <c r="N130" s="11">
        <v>0.83409999999999995</v>
      </c>
      <c r="O130" s="12">
        <v>18368958</v>
      </c>
      <c r="P130" s="12">
        <v>16843743</v>
      </c>
      <c r="Q130" s="13">
        <v>1181.2</v>
      </c>
      <c r="R130" s="13">
        <v>1010.6</v>
      </c>
      <c r="S130" s="8">
        <v>11</v>
      </c>
      <c r="T130" s="8">
        <v>0</v>
      </c>
      <c r="U130" s="12">
        <f t="shared" si="21"/>
        <v>-1525215</v>
      </c>
      <c r="V130" s="11">
        <f t="shared" ref="V130:V161" si="28">IFERROR(U130/O130,0)</f>
        <v>-8.303220030227082E-2</v>
      </c>
      <c r="W130" s="11">
        <f t="shared" si="23"/>
        <v>-0.16590000000000005</v>
      </c>
      <c r="X130" s="8">
        <f t="shared" si="24"/>
        <v>17</v>
      </c>
      <c r="Y130" s="14">
        <f t="shared" si="25"/>
        <v>0.42094795171185434</v>
      </c>
      <c r="Z130" s="12">
        <f t="shared" si="26"/>
        <v>39594.1397710444</v>
      </c>
      <c r="AA130" s="8" t="str">
        <f t="shared" si="27"/>
        <v>Atenção</v>
      </c>
    </row>
    <row r="131" spans="1:27">
      <c r="A131" s="8" t="s">
        <v>359</v>
      </c>
      <c r="B131" s="8" t="s">
        <v>120</v>
      </c>
      <c r="C131" s="8" t="s">
        <v>353</v>
      </c>
      <c r="D131" s="8" t="s">
        <v>360</v>
      </c>
      <c r="E131" s="8" t="s">
        <v>137</v>
      </c>
      <c r="F131" s="9">
        <v>46241</v>
      </c>
      <c r="G131" s="9">
        <v>46257</v>
      </c>
      <c r="H131" s="9"/>
      <c r="I131" s="8" t="s">
        <v>124</v>
      </c>
      <c r="J131" s="8" t="s">
        <v>228</v>
      </c>
      <c r="K131" s="10">
        <v>674</v>
      </c>
      <c r="L131" s="10">
        <v>534.44000000000005</v>
      </c>
      <c r="M131" s="11">
        <v>1</v>
      </c>
      <c r="N131" s="11">
        <v>0.79290000000000005</v>
      </c>
      <c r="O131" s="12">
        <v>4768037</v>
      </c>
      <c r="P131" s="12">
        <v>3562013</v>
      </c>
      <c r="Q131" s="13">
        <v>795.1</v>
      </c>
      <c r="R131" s="13">
        <v>676.7</v>
      </c>
      <c r="S131" s="8">
        <v>15</v>
      </c>
      <c r="T131" s="8">
        <v>1</v>
      </c>
      <c r="U131" s="12">
        <f t="shared" si="21"/>
        <v>-1206024</v>
      </c>
      <c r="V131" s="11">
        <f t="shared" si="28"/>
        <v>-0.25293931234174566</v>
      </c>
      <c r="W131" s="11">
        <f t="shared" si="23"/>
        <v>-0.20709999999999995</v>
      </c>
      <c r="X131" s="8">
        <f t="shared" si="24"/>
        <v>8</v>
      </c>
      <c r="Y131" s="14">
        <f t="shared" si="25"/>
        <v>0.78977390276341075</v>
      </c>
      <c r="Z131" s="12">
        <f t="shared" si="26"/>
        <v>6664.9446149240321</v>
      </c>
      <c r="AA131" s="8" t="str">
        <f t="shared" si="27"/>
        <v>Atenção</v>
      </c>
    </row>
    <row r="132" spans="1:27">
      <c r="A132" s="8" t="s">
        <v>361</v>
      </c>
      <c r="B132" s="8" t="s">
        <v>120</v>
      </c>
      <c r="C132" s="8" t="s">
        <v>353</v>
      </c>
      <c r="D132" s="8" t="s">
        <v>362</v>
      </c>
      <c r="E132" s="8" t="s">
        <v>128</v>
      </c>
      <c r="F132" s="9">
        <v>46238</v>
      </c>
      <c r="G132" s="9">
        <v>46254</v>
      </c>
      <c r="H132" s="9">
        <v>46253</v>
      </c>
      <c r="I132" s="8" t="s">
        <v>134</v>
      </c>
      <c r="J132" s="8" t="s">
        <v>255</v>
      </c>
      <c r="K132" s="10">
        <v>898</v>
      </c>
      <c r="L132" s="10">
        <v>898</v>
      </c>
      <c r="M132" s="11">
        <v>1</v>
      </c>
      <c r="N132" s="11">
        <v>1</v>
      </c>
      <c r="O132" s="12">
        <v>7770373</v>
      </c>
      <c r="P132" s="12">
        <v>8488072</v>
      </c>
      <c r="Q132" s="13">
        <v>1622.2</v>
      </c>
      <c r="R132" s="13">
        <v>1891.1</v>
      </c>
      <c r="S132" s="8">
        <v>6</v>
      </c>
      <c r="T132" s="8">
        <v>0</v>
      </c>
      <c r="U132" s="12">
        <f t="shared" si="21"/>
        <v>717699</v>
      </c>
      <c r="V132" s="11">
        <f t="shared" si="28"/>
        <v>9.2363519743518099E-2</v>
      </c>
      <c r="W132" s="11">
        <f t="shared" si="23"/>
        <v>0</v>
      </c>
      <c r="X132" s="8">
        <f t="shared" si="24"/>
        <v>0</v>
      </c>
      <c r="Y132" s="14">
        <f t="shared" si="25"/>
        <v>0.47485590397123367</v>
      </c>
      <c r="Z132" s="12">
        <f t="shared" si="26"/>
        <v>9452.1959910913138</v>
      </c>
      <c r="AA132" s="8" t="str">
        <f t="shared" si="27"/>
        <v>Controlado</v>
      </c>
    </row>
    <row r="133" spans="1:27">
      <c r="A133" s="8" t="s">
        <v>363</v>
      </c>
      <c r="B133" s="8" t="s">
        <v>120</v>
      </c>
      <c r="C133" s="8" t="s">
        <v>353</v>
      </c>
      <c r="D133" s="8" t="s">
        <v>364</v>
      </c>
      <c r="E133" s="8" t="s">
        <v>143</v>
      </c>
      <c r="F133" s="9">
        <v>46239</v>
      </c>
      <c r="G133" s="9">
        <v>46247</v>
      </c>
      <c r="H133" s="9"/>
      <c r="I133" s="8" t="s">
        <v>124</v>
      </c>
      <c r="J133" s="8" t="s">
        <v>228</v>
      </c>
      <c r="K133" s="10">
        <v>712</v>
      </c>
      <c r="L133" s="10">
        <v>599.25</v>
      </c>
      <c r="M133" s="11">
        <v>1</v>
      </c>
      <c r="N133" s="11">
        <v>0.84160000000000001</v>
      </c>
      <c r="O133" s="12">
        <v>10668199</v>
      </c>
      <c r="P133" s="12">
        <v>9060622</v>
      </c>
      <c r="Q133" s="13">
        <v>977.8</v>
      </c>
      <c r="R133" s="13">
        <v>995.5</v>
      </c>
      <c r="S133" s="8">
        <v>13</v>
      </c>
      <c r="T133" s="8">
        <v>0</v>
      </c>
      <c r="U133" s="12">
        <f t="shared" si="21"/>
        <v>-1607577</v>
      </c>
      <c r="V133" s="11">
        <f t="shared" si="28"/>
        <v>-0.15068869637696108</v>
      </c>
      <c r="W133" s="11">
        <f t="shared" si="23"/>
        <v>-0.15839999999999999</v>
      </c>
      <c r="X133" s="8">
        <f t="shared" si="24"/>
        <v>18</v>
      </c>
      <c r="Y133" s="14">
        <f t="shared" si="25"/>
        <v>0.60195881466599699</v>
      </c>
      <c r="Z133" s="12">
        <f t="shared" si="26"/>
        <v>15119.936587400918</v>
      </c>
      <c r="AA133" s="8" t="str">
        <f t="shared" si="27"/>
        <v>Atenção</v>
      </c>
    </row>
  </sheetData>
  <conditionalFormatting sqref="V2:V133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W2:W133">
    <cfRule type="colorScale" priority="2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X2:X133">
    <cfRule type="dataBar" priority="3">
      <dataBar>
        <cfvo type="min"/>
        <cfvo type="max"/>
        <color rgb="FFC55A11"/>
      </dataBar>
    </cfRule>
  </conditionalFormatting>
  <conditionalFormatting sqref="X2:X133">
    <cfRule type="dataBar" priority="4">
      <dataBar>
        <cfvo type="min"/>
        <cfvo type="max"/>
        <color rgb="FFC55A11"/>
      </dataBar>
      <extLst>
        <ext xmlns:x14="http://schemas.microsoft.com/office/spreadsheetml/2009/9/main" uri="{B025F937-C7B1-47D3-B67F-A62EFF666E3E}">
          <x14:id>{2DBE14F3-52C7-0251-95D9-97D289A160C6}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E14F3-52C7-0251-95D9-97D289A160C6}">
            <x14:dataBar>
              <x14:cfvo type="min"/>
              <x14:cfvo type="max"/>
              <x14:negativeFillColor auto="1"/>
              <x14:axisColor auto="1"/>
            </x14:dataBar>
          </x14:cfRule>
          <xm:sqref>X2:X133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Guia_Projeto</vt:lpstr>
      <vt:lpstr>Dados_Obra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2026-09-20T14:33:51Z</dcterms:modified>
</cp:coreProperties>
</file>